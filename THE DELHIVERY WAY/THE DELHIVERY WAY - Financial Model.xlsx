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v_projects_2\c2c_logistics\THE DELHIVERY WAY\"/>
    </mc:Choice>
  </mc:AlternateContent>
  <xr:revisionPtr revIDLastSave="0" documentId="13_ncr:1_{9868C18C-A458-4051-84A8-DECC08620088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over" sheetId="1" r:id="rId1"/>
    <sheet name="Assumptions" sheetId="2" r:id="rId2"/>
    <sheet name="LTV_Model" sheetId="3" r:id="rId3"/>
    <sheet name="Volume_Build" sheetId="4" r:id="rId4"/>
    <sheet name="PnL" sheetId="5" r:id="rId5"/>
    <sheet name="DCF_Valuation" sheetId="6" r:id="rId6"/>
    <sheet name="Sensitivity" sheetId="7" r:id="rId7"/>
    <sheet name="Dashboard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7" l="1"/>
  <c r="E11" i="7"/>
  <c r="D11" i="7"/>
  <c r="C11" i="7"/>
  <c r="B11" i="7"/>
  <c r="F10" i="7"/>
  <c r="E10" i="7"/>
  <c r="D10" i="7"/>
  <c r="C10" i="7"/>
  <c r="B10" i="7"/>
  <c r="F9" i="7"/>
  <c r="E9" i="7"/>
  <c r="D9" i="7"/>
  <c r="C9" i="7"/>
  <c r="B9" i="7"/>
  <c r="F8" i="7"/>
  <c r="E8" i="7"/>
  <c r="D8" i="7"/>
  <c r="C8" i="7"/>
  <c r="B8" i="7"/>
  <c r="F7" i="7"/>
  <c r="E7" i="7"/>
  <c r="D7" i="7"/>
  <c r="C7" i="7"/>
  <c r="B7" i="7"/>
  <c r="E15" i="6"/>
  <c r="D15" i="6"/>
  <c r="C15" i="6"/>
  <c r="B15" i="6"/>
  <c r="M14" i="5"/>
  <c r="L14" i="5"/>
  <c r="K14" i="5"/>
  <c r="J14" i="5"/>
  <c r="Q14" i="5" s="1"/>
  <c r="I14" i="5"/>
  <c r="H14" i="5"/>
  <c r="G14" i="5"/>
  <c r="F14" i="5"/>
  <c r="P14" i="5" s="1"/>
  <c r="E14" i="5"/>
  <c r="D14" i="5"/>
  <c r="C14" i="5"/>
  <c r="B14" i="5"/>
  <c r="O14" i="5" s="1"/>
  <c r="M13" i="5"/>
  <c r="L13" i="5"/>
  <c r="K13" i="5"/>
  <c r="J13" i="5"/>
  <c r="Q13" i="5" s="1"/>
  <c r="I13" i="5"/>
  <c r="H13" i="5"/>
  <c r="G13" i="5"/>
  <c r="F13" i="5"/>
  <c r="P13" i="5" s="1"/>
  <c r="E13" i="5"/>
  <c r="D13" i="5"/>
  <c r="C13" i="5"/>
  <c r="B13" i="5"/>
  <c r="O13" i="5" s="1"/>
  <c r="M40" i="4"/>
  <c r="M12" i="5" s="1"/>
  <c r="L40" i="4"/>
  <c r="L12" i="5" s="1"/>
  <c r="K40" i="4"/>
  <c r="K12" i="5" s="1"/>
  <c r="J40" i="4"/>
  <c r="J12" i="5" s="1"/>
  <c r="Q12" i="5" s="1"/>
  <c r="I40" i="4"/>
  <c r="I12" i="5" s="1"/>
  <c r="H40" i="4"/>
  <c r="H12" i="5" s="1"/>
  <c r="G40" i="4"/>
  <c r="G12" i="5" s="1"/>
  <c r="F40" i="4"/>
  <c r="F12" i="5" s="1"/>
  <c r="P12" i="5" s="1"/>
  <c r="E40" i="4"/>
  <c r="E12" i="5" s="1"/>
  <c r="D40" i="4"/>
  <c r="D12" i="5" s="1"/>
  <c r="C40" i="4"/>
  <c r="C12" i="5" s="1"/>
  <c r="B40" i="4"/>
  <c r="M34" i="4"/>
  <c r="L34" i="4"/>
  <c r="K34" i="4"/>
  <c r="J34" i="4"/>
  <c r="I34" i="4"/>
  <c r="H34" i="4"/>
  <c r="G34" i="4"/>
  <c r="F34" i="4"/>
  <c r="E34" i="4"/>
  <c r="D34" i="4"/>
  <c r="C34" i="4"/>
  <c r="B34" i="4"/>
  <c r="M31" i="4"/>
  <c r="L31" i="4"/>
  <c r="K31" i="4"/>
  <c r="J31" i="4"/>
  <c r="I31" i="4"/>
  <c r="H31" i="4"/>
  <c r="G31" i="4"/>
  <c r="F31" i="4"/>
  <c r="E31" i="4"/>
  <c r="D31" i="4"/>
  <c r="C31" i="4"/>
  <c r="B31" i="4"/>
  <c r="B26" i="4"/>
  <c r="M22" i="4"/>
  <c r="L22" i="4"/>
  <c r="K22" i="4"/>
  <c r="J22" i="4"/>
  <c r="I22" i="4"/>
  <c r="H22" i="4"/>
  <c r="G22" i="4"/>
  <c r="F22" i="4"/>
  <c r="E22" i="4"/>
  <c r="D22" i="4"/>
  <c r="C22" i="4"/>
  <c r="B22" i="4"/>
  <c r="B17" i="4"/>
  <c r="M13" i="4"/>
  <c r="L13" i="4"/>
  <c r="K13" i="4"/>
  <c r="J13" i="4"/>
  <c r="I13" i="4"/>
  <c r="H13" i="4"/>
  <c r="G13" i="4"/>
  <c r="F13" i="4"/>
  <c r="E13" i="4"/>
  <c r="D13" i="4"/>
  <c r="C13" i="4"/>
  <c r="B13" i="4"/>
  <c r="B8" i="4"/>
  <c r="L45" i="3"/>
  <c r="G45" i="3"/>
  <c r="B45" i="3"/>
  <c r="L44" i="3"/>
  <c r="G44" i="3"/>
  <c r="B44" i="3"/>
  <c r="N40" i="3"/>
  <c r="L40" i="3"/>
  <c r="M40" i="3" s="1"/>
  <c r="O40" i="3" s="1"/>
  <c r="I40" i="3"/>
  <c r="G40" i="3"/>
  <c r="H40" i="3" s="1"/>
  <c r="J40" i="3" s="1"/>
  <c r="D40" i="3"/>
  <c r="B40" i="3"/>
  <c r="C40" i="3" s="1"/>
  <c r="E40" i="3" s="1"/>
  <c r="N39" i="3"/>
  <c r="L39" i="3"/>
  <c r="M39" i="3" s="1"/>
  <c r="O39" i="3" s="1"/>
  <c r="I39" i="3"/>
  <c r="G39" i="3"/>
  <c r="H39" i="3" s="1"/>
  <c r="J39" i="3" s="1"/>
  <c r="D39" i="3"/>
  <c r="B39" i="3"/>
  <c r="C39" i="3" s="1"/>
  <c r="E39" i="3" s="1"/>
  <c r="N38" i="3"/>
  <c r="L38" i="3"/>
  <c r="M38" i="3" s="1"/>
  <c r="O38" i="3" s="1"/>
  <c r="I38" i="3"/>
  <c r="G38" i="3"/>
  <c r="H38" i="3" s="1"/>
  <c r="J38" i="3" s="1"/>
  <c r="D38" i="3"/>
  <c r="B38" i="3"/>
  <c r="C38" i="3" s="1"/>
  <c r="E38" i="3" s="1"/>
  <c r="N37" i="3"/>
  <c r="L37" i="3"/>
  <c r="M37" i="3" s="1"/>
  <c r="O37" i="3" s="1"/>
  <c r="I37" i="3"/>
  <c r="G37" i="3"/>
  <c r="H37" i="3" s="1"/>
  <c r="J37" i="3" s="1"/>
  <c r="D37" i="3"/>
  <c r="B37" i="3"/>
  <c r="C37" i="3" s="1"/>
  <c r="E37" i="3" s="1"/>
  <c r="N36" i="3"/>
  <c r="L36" i="3"/>
  <c r="M36" i="3" s="1"/>
  <c r="O36" i="3" s="1"/>
  <c r="G36" i="3"/>
  <c r="B36" i="3"/>
  <c r="L35" i="3"/>
  <c r="G35" i="3"/>
  <c r="B35" i="3"/>
  <c r="L34" i="3"/>
  <c r="G34" i="3"/>
  <c r="B34" i="3"/>
  <c r="L33" i="3"/>
  <c r="G33" i="3"/>
  <c r="B33" i="3"/>
  <c r="L32" i="3"/>
  <c r="G32" i="3"/>
  <c r="B32" i="3"/>
  <c r="L31" i="3"/>
  <c r="G31" i="3"/>
  <c r="B31" i="3"/>
  <c r="L30" i="3"/>
  <c r="G30" i="3"/>
  <c r="B30" i="3"/>
  <c r="L29" i="3"/>
  <c r="G29" i="3"/>
  <c r="B29" i="3"/>
  <c r="N28" i="3"/>
  <c r="L28" i="3"/>
  <c r="I28" i="3"/>
  <c r="G28" i="3"/>
  <c r="H28" i="3" s="1"/>
  <c r="J28" i="3" s="1"/>
  <c r="D28" i="3"/>
  <c r="B28" i="3"/>
  <c r="C28" i="3" s="1"/>
  <c r="E28" i="3" s="1"/>
  <c r="N27" i="3"/>
  <c r="L27" i="3"/>
  <c r="M27" i="3" s="1"/>
  <c r="O27" i="3" s="1"/>
  <c r="I27" i="3"/>
  <c r="G27" i="3"/>
  <c r="H27" i="3" s="1"/>
  <c r="J27" i="3" s="1"/>
  <c r="D27" i="3"/>
  <c r="B27" i="3"/>
  <c r="C27" i="3" s="1"/>
  <c r="E27" i="3" s="1"/>
  <c r="N26" i="3"/>
  <c r="L26" i="3"/>
  <c r="M26" i="3" s="1"/>
  <c r="O26" i="3" s="1"/>
  <c r="I26" i="3"/>
  <c r="G26" i="3"/>
  <c r="H26" i="3" s="1"/>
  <c r="J26" i="3" s="1"/>
  <c r="D26" i="3"/>
  <c r="B26" i="3"/>
  <c r="C26" i="3" s="1"/>
  <c r="E26" i="3" s="1"/>
  <c r="N25" i="3"/>
  <c r="L25" i="3"/>
  <c r="M25" i="3" s="1"/>
  <c r="O25" i="3" s="1"/>
  <c r="I25" i="3"/>
  <c r="G25" i="3"/>
  <c r="H25" i="3" s="1"/>
  <c r="J25" i="3" s="1"/>
  <c r="D25" i="3"/>
  <c r="B25" i="3"/>
  <c r="C25" i="3" s="1"/>
  <c r="E25" i="3" s="1"/>
  <c r="N24" i="3"/>
  <c r="L24" i="3"/>
  <c r="M24" i="3" s="1"/>
  <c r="O24" i="3" s="1"/>
  <c r="I24" i="3"/>
  <c r="G24" i="3"/>
  <c r="H24" i="3" s="1"/>
  <c r="J24" i="3" s="1"/>
  <c r="D24" i="3"/>
  <c r="B24" i="3"/>
  <c r="C24" i="3" s="1"/>
  <c r="E24" i="3" s="1"/>
  <c r="N23" i="3"/>
  <c r="L23" i="3"/>
  <c r="M23" i="3" s="1"/>
  <c r="O23" i="3" s="1"/>
  <c r="I23" i="3"/>
  <c r="G23" i="3"/>
  <c r="H23" i="3" s="1"/>
  <c r="J23" i="3" s="1"/>
  <c r="D23" i="3"/>
  <c r="B23" i="3"/>
  <c r="C23" i="3" s="1"/>
  <c r="E23" i="3" s="1"/>
  <c r="N22" i="3"/>
  <c r="L22" i="3"/>
  <c r="M22" i="3" s="1"/>
  <c r="O22" i="3" s="1"/>
  <c r="I22" i="3"/>
  <c r="G22" i="3"/>
  <c r="H22" i="3" s="1"/>
  <c r="J22" i="3" s="1"/>
  <c r="D22" i="3"/>
  <c r="B22" i="3"/>
  <c r="C22" i="3" s="1"/>
  <c r="E22" i="3" s="1"/>
  <c r="N21" i="3"/>
  <c r="L21" i="3"/>
  <c r="M21" i="3" s="1"/>
  <c r="O21" i="3" s="1"/>
  <c r="I21" i="3"/>
  <c r="G21" i="3"/>
  <c r="H21" i="3" s="1"/>
  <c r="J21" i="3" s="1"/>
  <c r="D21" i="3"/>
  <c r="B21" i="3"/>
  <c r="C21" i="3" s="1"/>
  <c r="E21" i="3" s="1"/>
  <c r="N20" i="3"/>
  <c r="L20" i="3"/>
  <c r="M20" i="3" s="1"/>
  <c r="O20" i="3" s="1"/>
  <c r="I20" i="3"/>
  <c r="G20" i="3"/>
  <c r="H20" i="3" s="1"/>
  <c r="J20" i="3" s="1"/>
  <c r="D20" i="3"/>
  <c r="B20" i="3"/>
  <c r="C20" i="3" s="1"/>
  <c r="E20" i="3" s="1"/>
  <c r="N19" i="3"/>
  <c r="L19" i="3"/>
  <c r="M19" i="3" s="1"/>
  <c r="O19" i="3" s="1"/>
  <c r="I19" i="3"/>
  <c r="G19" i="3"/>
  <c r="H19" i="3" s="1"/>
  <c r="J19" i="3" s="1"/>
  <c r="D19" i="3"/>
  <c r="B19" i="3"/>
  <c r="C19" i="3" s="1"/>
  <c r="E19" i="3" s="1"/>
  <c r="N18" i="3"/>
  <c r="L18" i="3"/>
  <c r="M18" i="3" s="1"/>
  <c r="O18" i="3" s="1"/>
  <c r="I18" i="3"/>
  <c r="G18" i="3"/>
  <c r="H18" i="3" s="1"/>
  <c r="J18" i="3" s="1"/>
  <c r="D18" i="3"/>
  <c r="B18" i="3"/>
  <c r="C18" i="3" s="1"/>
  <c r="E18" i="3" s="1"/>
  <c r="N17" i="3"/>
  <c r="L17" i="3"/>
  <c r="M17" i="3" s="1"/>
  <c r="O17" i="3" s="1"/>
  <c r="I17" i="3"/>
  <c r="G17" i="3"/>
  <c r="H17" i="3" s="1"/>
  <c r="J17" i="3" s="1"/>
  <c r="D17" i="3"/>
  <c r="B17" i="3"/>
  <c r="C17" i="3" s="1"/>
  <c r="E17" i="3" s="1"/>
  <c r="N16" i="3"/>
  <c r="L16" i="3"/>
  <c r="M16" i="3" s="1"/>
  <c r="O16" i="3" s="1"/>
  <c r="I16" i="3"/>
  <c r="G16" i="3"/>
  <c r="H16" i="3" s="1"/>
  <c r="J16" i="3" s="1"/>
  <c r="D16" i="3"/>
  <c r="B16" i="3"/>
  <c r="C16" i="3" s="1"/>
  <c r="E16" i="3" s="1"/>
  <c r="N15" i="3"/>
  <c r="L15" i="3"/>
  <c r="M15" i="3" s="1"/>
  <c r="O15" i="3" s="1"/>
  <c r="I15" i="3"/>
  <c r="G15" i="3"/>
  <c r="H15" i="3" s="1"/>
  <c r="J15" i="3" s="1"/>
  <c r="D15" i="3"/>
  <c r="B15" i="3"/>
  <c r="C15" i="3" s="1"/>
  <c r="E15" i="3" s="1"/>
  <c r="N14" i="3"/>
  <c r="L14" i="3"/>
  <c r="M14" i="3" s="1"/>
  <c r="O14" i="3" s="1"/>
  <c r="I14" i="3"/>
  <c r="G14" i="3"/>
  <c r="H14" i="3" s="1"/>
  <c r="J14" i="3" s="1"/>
  <c r="D14" i="3"/>
  <c r="B14" i="3"/>
  <c r="C14" i="3" s="1"/>
  <c r="E14" i="3" s="1"/>
  <c r="N13" i="3"/>
  <c r="L13" i="3"/>
  <c r="M13" i="3" s="1"/>
  <c r="O13" i="3" s="1"/>
  <c r="I13" i="3"/>
  <c r="G13" i="3"/>
  <c r="H13" i="3" s="1"/>
  <c r="J13" i="3" s="1"/>
  <c r="B13" i="3"/>
  <c r="L12" i="3"/>
  <c r="G12" i="3"/>
  <c r="B12" i="3"/>
  <c r="L11" i="3"/>
  <c r="G11" i="3"/>
  <c r="B11" i="3"/>
  <c r="L10" i="3"/>
  <c r="G10" i="3"/>
  <c r="B10" i="3"/>
  <c r="L9" i="3"/>
  <c r="G9" i="3"/>
  <c r="B9" i="3"/>
  <c r="L8" i="3"/>
  <c r="G8" i="3"/>
  <c r="B8" i="3"/>
  <c r="L7" i="3"/>
  <c r="G7" i="3"/>
  <c r="B7" i="3"/>
  <c r="L6" i="3"/>
  <c r="G6" i="3"/>
  <c r="B6" i="3"/>
  <c r="L5" i="3"/>
  <c r="G5" i="3"/>
  <c r="B5" i="3"/>
  <c r="S1" i="3"/>
  <c r="B36" i="2"/>
  <c r="D24" i="2"/>
  <c r="C24" i="2"/>
  <c r="B24" i="2"/>
  <c r="D23" i="2"/>
  <c r="C23" i="2"/>
  <c r="B23" i="2"/>
  <c r="D20" i="2"/>
  <c r="C20" i="2"/>
  <c r="B20" i="2"/>
  <c r="C19" i="8" l="1"/>
  <c r="B12" i="5"/>
  <c r="O12" i="5" s="1"/>
  <c r="B27" i="4"/>
  <c r="C26" i="4"/>
  <c r="B18" i="4"/>
  <c r="C17" i="4"/>
  <c r="B35" i="4"/>
  <c r="C8" i="4"/>
  <c r="B9" i="4"/>
  <c r="D14" i="8"/>
  <c r="D13" i="8"/>
  <c r="D12" i="8"/>
  <c r="D30" i="3"/>
  <c r="N29" i="3"/>
  <c r="I29" i="3"/>
  <c r="D29" i="3"/>
  <c r="I36" i="3"/>
  <c r="D13" i="3"/>
  <c r="N12" i="3"/>
  <c r="I12" i="3"/>
  <c r="D12" i="3"/>
  <c r="N11" i="3"/>
  <c r="I11" i="3"/>
  <c r="D11" i="3"/>
  <c r="N10" i="3"/>
  <c r="I10" i="3"/>
  <c r="D10" i="3"/>
  <c r="N9" i="3"/>
  <c r="I9" i="3"/>
  <c r="D9" i="3"/>
  <c r="N8" i="3"/>
  <c r="D8" i="3"/>
  <c r="N7" i="3"/>
  <c r="I7" i="3"/>
  <c r="D7" i="3"/>
  <c r="N6" i="3"/>
  <c r="I6" i="3"/>
  <c r="D6" i="3"/>
  <c r="N5" i="3"/>
  <c r="I5" i="3"/>
  <c r="D5" i="3"/>
  <c r="I8" i="3"/>
  <c r="D36" i="3"/>
  <c r="N35" i="3"/>
  <c r="I35" i="3"/>
  <c r="D35" i="3"/>
  <c r="N34" i="3"/>
  <c r="I34" i="3"/>
  <c r="D34" i="3"/>
  <c r="N33" i="3"/>
  <c r="I33" i="3"/>
  <c r="D33" i="3"/>
  <c r="N32" i="3"/>
  <c r="I32" i="3"/>
  <c r="D32" i="3"/>
  <c r="N31" i="3"/>
  <c r="I31" i="3"/>
  <c r="D31" i="3"/>
  <c r="N30" i="3"/>
  <c r="I30" i="3"/>
  <c r="M29" i="3"/>
  <c r="M32" i="3"/>
  <c r="M9" i="3"/>
  <c r="M31" i="3"/>
  <c r="M8" i="3"/>
  <c r="D21" i="2"/>
  <c r="M28" i="3"/>
  <c r="O28" i="3" s="1"/>
  <c r="M12" i="3"/>
  <c r="M10" i="3"/>
  <c r="M33" i="3"/>
  <c r="M7" i="3"/>
  <c r="M30" i="3"/>
  <c r="M35" i="3"/>
  <c r="M5" i="3"/>
  <c r="M11" i="3"/>
  <c r="M34" i="3"/>
  <c r="M6" i="3"/>
  <c r="H9" i="3"/>
  <c r="H35" i="3"/>
  <c r="H8" i="3"/>
  <c r="H33" i="3"/>
  <c r="H7" i="3"/>
  <c r="H34" i="3"/>
  <c r="H6" i="3"/>
  <c r="H36" i="3"/>
  <c r="H5" i="3"/>
  <c r="H10" i="3"/>
  <c r="H29" i="3"/>
  <c r="H12" i="3"/>
  <c r="H30" i="3"/>
  <c r="H11" i="3"/>
  <c r="H31" i="3"/>
  <c r="H32" i="3"/>
  <c r="C21" i="2"/>
  <c r="C35" i="3"/>
  <c r="C12" i="3"/>
  <c r="C30" i="3"/>
  <c r="C7" i="3"/>
  <c r="B21" i="2"/>
  <c r="C13" i="3"/>
  <c r="C34" i="3"/>
  <c r="C11" i="3"/>
  <c r="C31" i="3"/>
  <c r="C8" i="3"/>
  <c r="C36" i="3"/>
  <c r="C6" i="3"/>
  <c r="C33" i="3"/>
  <c r="C10" i="3"/>
  <c r="C32" i="3"/>
  <c r="C9" i="3"/>
  <c r="C5" i="3"/>
  <c r="C29" i="3"/>
  <c r="B28" i="4" l="1"/>
  <c r="B29" i="4"/>
  <c r="D26" i="4"/>
  <c r="C27" i="4"/>
  <c r="B19" i="4"/>
  <c r="B20" i="4"/>
  <c r="D17" i="4"/>
  <c r="C18" i="4"/>
  <c r="D8" i="4"/>
  <c r="C9" i="4"/>
  <c r="C35" i="4"/>
  <c r="B10" i="4"/>
  <c r="B11" i="4"/>
  <c r="B38" i="4" s="1"/>
  <c r="B7" i="5" s="1"/>
  <c r="B36" i="4"/>
  <c r="O29" i="3"/>
  <c r="O32" i="3"/>
  <c r="O9" i="3"/>
  <c r="O31" i="3"/>
  <c r="O8" i="3"/>
  <c r="O12" i="3"/>
  <c r="O10" i="3"/>
  <c r="O33" i="3"/>
  <c r="O7" i="3"/>
  <c r="O30" i="3"/>
  <c r="O35" i="3"/>
  <c r="O5" i="3"/>
  <c r="O11" i="3"/>
  <c r="O34" i="3"/>
  <c r="O6" i="3"/>
  <c r="J9" i="3"/>
  <c r="J35" i="3"/>
  <c r="J8" i="3"/>
  <c r="J33" i="3"/>
  <c r="J7" i="3"/>
  <c r="J34" i="3"/>
  <c r="J6" i="3"/>
  <c r="J36" i="3"/>
  <c r="J5" i="3"/>
  <c r="J10" i="3"/>
  <c r="J29" i="3"/>
  <c r="J12" i="3"/>
  <c r="J30" i="3"/>
  <c r="J11" i="3"/>
  <c r="J31" i="3"/>
  <c r="J32" i="3"/>
  <c r="E35" i="3"/>
  <c r="E12" i="3"/>
  <c r="E30" i="3"/>
  <c r="E7" i="3"/>
  <c r="E13" i="3"/>
  <c r="E34" i="3"/>
  <c r="E11" i="3"/>
  <c r="E31" i="3"/>
  <c r="E8" i="3"/>
  <c r="E36" i="3"/>
  <c r="E6" i="3"/>
  <c r="E33" i="3"/>
  <c r="E10" i="3"/>
  <c r="E32" i="3"/>
  <c r="E9" i="3"/>
  <c r="E5" i="3"/>
  <c r="E29" i="3"/>
  <c r="B30" i="4" l="1"/>
  <c r="E26" i="4"/>
  <c r="D27" i="4"/>
  <c r="C28" i="4"/>
  <c r="C30" i="4" s="1"/>
  <c r="C29" i="4"/>
  <c r="B21" i="4"/>
  <c r="E17" i="4"/>
  <c r="D18" i="4"/>
  <c r="C19" i="4"/>
  <c r="C20" i="4"/>
  <c r="E8" i="4"/>
  <c r="D9" i="4"/>
  <c r="D35" i="4"/>
  <c r="C10" i="4"/>
  <c r="C11" i="4"/>
  <c r="C36" i="4"/>
  <c r="B12" i="4"/>
  <c r="B37" i="4"/>
  <c r="B6" i="5" s="1"/>
  <c r="L43" i="3"/>
  <c r="P5" i="3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G43" i="3"/>
  <c r="K5" i="3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B43" i="3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6" i="4" l="1"/>
  <c r="E27" i="4"/>
  <c r="D28" i="4"/>
  <c r="D29" i="4"/>
  <c r="F17" i="4"/>
  <c r="E18" i="4"/>
  <c r="D19" i="4"/>
  <c r="D20" i="4"/>
  <c r="F8" i="4"/>
  <c r="E9" i="4"/>
  <c r="E35" i="4"/>
  <c r="D10" i="4"/>
  <c r="D11" i="4"/>
  <c r="D38" i="4" s="1"/>
  <c r="D7" i="5" s="1"/>
  <c r="D36" i="4"/>
  <c r="C12" i="4"/>
  <c r="C39" i="4" s="1"/>
  <c r="C37" i="4"/>
  <c r="C6" i="5" s="1"/>
  <c r="B8" i="5"/>
  <c r="B9" i="5"/>
  <c r="L46" i="3"/>
  <c r="C14" i="8"/>
  <c r="P23" i="3"/>
  <c r="P24" i="3" s="1"/>
  <c r="P25" i="3" s="1"/>
  <c r="P26" i="3" s="1"/>
  <c r="P27" i="3" s="1"/>
  <c r="P28" i="3" s="1"/>
  <c r="P29" i="3" s="1"/>
  <c r="P30" i="3" s="1"/>
  <c r="P31" i="3" s="1"/>
  <c r="G46" i="3"/>
  <c r="E13" i="8" s="1"/>
  <c r="C13" i="8"/>
  <c r="G47" i="3"/>
  <c r="F13" i="8" s="1"/>
  <c r="K23" i="3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B46" i="3"/>
  <c r="C12" i="8"/>
  <c r="B47" i="3"/>
  <c r="F12" i="8" s="1"/>
  <c r="F23" i="3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C21" i="4"/>
  <c r="C38" i="4"/>
  <c r="C7" i="5" s="1"/>
  <c r="B39" i="4"/>
  <c r="G26" i="4" l="1"/>
  <c r="F27" i="4"/>
  <c r="E28" i="4"/>
  <c r="E29" i="4"/>
  <c r="D30" i="4"/>
  <c r="G17" i="4"/>
  <c r="F18" i="4"/>
  <c r="E19" i="4"/>
  <c r="E20" i="4"/>
  <c r="D21" i="4"/>
  <c r="G8" i="4"/>
  <c r="F9" i="4"/>
  <c r="F35" i="4"/>
  <c r="E10" i="4"/>
  <c r="E11" i="4"/>
  <c r="E36" i="4"/>
  <c r="D12" i="4"/>
  <c r="D37" i="4"/>
  <c r="D6" i="5" s="1"/>
  <c r="C8" i="5"/>
  <c r="C9" i="5"/>
  <c r="B10" i="5"/>
  <c r="B20" i="5"/>
  <c r="F8" i="8"/>
  <c r="E14" i="8"/>
  <c r="F7" i="8"/>
  <c r="E12" i="8"/>
  <c r="P32" i="3"/>
  <c r="P33" i="3" s="1"/>
  <c r="P34" i="3" s="1"/>
  <c r="P35" i="3" s="1"/>
  <c r="P36" i="3" s="1"/>
  <c r="P37" i="3" s="1"/>
  <c r="P38" i="3" s="1"/>
  <c r="P39" i="3" s="1"/>
  <c r="P40" i="3" s="1"/>
  <c r="L47" i="3"/>
  <c r="F14" i="8" s="1"/>
  <c r="H26" i="4" l="1"/>
  <c r="G27" i="4"/>
  <c r="F28" i="4"/>
  <c r="F29" i="4"/>
  <c r="H17" i="4"/>
  <c r="G18" i="4"/>
  <c r="F19" i="4"/>
  <c r="F20" i="4"/>
  <c r="H8" i="4"/>
  <c r="G9" i="4"/>
  <c r="G35" i="4"/>
  <c r="F10" i="4"/>
  <c r="F11" i="4"/>
  <c r="F38" i="4" s="1"/>
  <c r="F7" i="5" s="1"/>
  <c r="F36" i="4"/>
  <c r="E12" i="4"/>
  <c r="E39" i="4" s="1"/>
  <c r="E37" i="4"/>
  <c r="E6" i="5" s="1"/>
  <c r="O6" i="5"/>
  <c r="D8" i="5"/>
  <c r="D9" i="5"/>
  <c r="C10" i="5"/>
  <c r="C15" i="5" s="1"/>
  <c r="C20" i="5"/>
  <c r="B15" i="5"/>
  <c r="E38" i="4"/>
  <c r="E7" i="5" s="1"/>
  <c r="O7" i="5" s="1"/>
  <c r="D39" i="4"/>
  <c r="E30" i="4"/>
  <c r="E21" i="4"/>
  <c r="I26" i="4" l="1"/>
  <c r="H27" i="4"/>
  <c r="G28" i="4"/>
  <c r="G29" i="4"/>
  <c r="F30" i="4"/>
  <c r="I17" i="4"/>
  <c r="H18" i="4"/>
  <c r="G19" i="4"/>
  <c r="G21" i="4" s="1"/>
  <c r="G20" i="4"/>
  <c r="I8" i="4"/>
  <c r="H9" i="4"/>
  <c r="H35" i="4"/>
  <c r="G10" i="4"/>
  <c r="G11" i="4"/>
  <c r="G36" i="4"/>
  <c r="F12" i="4"/>
  <c r="F37" i="4"/>
  <c r="F6" i="5" s="1"/>
  <c r="E8" i="5"/>
  <c r="E9" i="5"/>
  <c r="O9" i="5" s="1"/>
  <c r="B6" i="6"/>
  <c r="B9" i="6" s="1"/>
  <c r="O8" i="5"/>
  <c r="D10" i="5"/>
  <c r="D20" i="5"/>
  <c r="C21" i="5"/>
  <c r="C16" i="5"/>
  <c r="B17" i="5"/>
  <c r="B21" i="5"/>
  <c r="B16" i="5"/>
  <c r="F21" i="4"/>
  <c r="J26" i="4" l="1"/>
  <c r="I27" i="4"/>
  <c r="H28" i="4"/>
  <c r="H29" i="4"/>
  <c r="J17" i="4"/>
  <c r="I18" i="4"/>
  <c r="H19" i="4"/>
  <c r="H20" i="4"/>
  <c r="J8" i="4"/>
  <c r="I9" i="4"/>
  <c r="I35" i="4"/>
  <c r="H10" i="4"/>
  <c r="H11" i="4"/>
  <c r="H36" i="4"/>
  <c r="G12" i="4"/>
  <c r="G37" i="4"/>
  <c r="G6" i="5" s="1"/>
  <c r="F8" i="5"/>
  <c r="F9" i="5"/>
  <c r="E10" i="5"/>
  <c r="E15" i="5" s="1"/>
  <c r="E20" i="5"/>
  <c r="O20" i="5" s="1"/>
  <c r="O10" i="5"/>
  <c r="D15" i="5"/>
  <c r="C17" i="5"/>
  <c r="C25" i="8"/>
  <c r="G30" i="4"/>
  <c r="G38" i="4"/>
  <c r="G7" i="5" s="1"/>
  <c r="F39" i="4"/>
  <c r="K26" i="4" l="1"/>
  <c r="J27" i="4"/>
  <c r="I28" i="4"/>
  <c r="I29" i="4"/>
  <c r="H30" i="4"/>
  <c r="K17" i="4"/>
  <c r="J18" i="4"/>
  <c r="I19" i="4"/>
  <c r="I20" i="4"/>
  <c r="K8" i="4"/>
  <c r="J9" i="4"/>
  <c r="J35" i="4"/>
  <c r="I10" i="4"/>
  <c r="I11" i="4"/>
  <c r="I38" i="4" s="1"/>
  <c r="I7" i="5" s="1"/>
  <c r="I36" i="4"/>
  <c r="H12" i="4"/>
  <c r="H39" i="4" s="1"/>
  <c r="H37" i="4"/>
  <c r="H6" i="5" s="1"/>
  <c r="G8" i="5"/>
  <c r="G9" i="5"/>
  <c r="F10" i="5"/>
  <c r="F20" i="5"/>
  <c r="E21" i="5"/>
  <c r="E16" i="5"/>
  <c r="O15" i="5"/>
  <c r="D21" i="5"/>
  <c r="O21" i="5" s="1"/>
  <c r="D16" i="5"/>
  <c r="D17" i="5"/>
  <c r="C26" i="8"/>
  <c r="H21" i="4"/>
  <c r="H38" i="4"/>
  <c r="H7" i="5" s="1"/>
  <c r="G39" i="4"/>
  <c r="L26" i="4" l="1"/>
  <c r="K27" i="4"/>
  <c r="J28" i="4"/>
  <c r="J30" i="4" s="1"/>
  <c r="J29" i="4"/>
  <c r="L17" i="4"/>
  <c r="K18" i="4"/>
  <c r="J19" i="4"/>
  <c r="J21" i="4" s="1"/>
  <c r="J20" i="4"/>
  <c r="L8" i="4"/>
  <c r="K9" i="4"/>
  <c r="K35" i="4"/>
  <c r="J10" i="4"/>
  <c r="J11" i="4"/>
  <c r="J36" i="4"/>
  <c r="I12" i="4"/>
  <c r="I37" i="4"/>
  <c r="I6" i="5" s="1"/>
  <c r="P6" i="5"/>
  <c r="H8" i="5"/>
  <c r="H9" i="5"/>
  <c r="G10" i="5"/>
  <c r="G20" i="5"/>
  <c r="F15" i="5"/>
  <c r="B7" i="6"/>
  <c r="O16" i="5"/>
  <c r="E17" i="5"/>
  <c r="C27" i="8"/>
  <c r="I21" i="4"/>
  <c r="P7" i="5"/>
  <c r="I30" i="4"/>
  <c r="M26" i="4" l="1"/>
  <c r="M27" i="4" s="1"/>
  <c r="L27" i="4"/>
  <c r="K28" i="4"/>
  <c r="K30" i="4" s="1"/>
  <c r="K29" i="4"/>
  <c r="M17" i="4"/>
  <c r="M18" i="4" s="1"/>
  <c r="L18" i="4"/>
  <c r="K19" i="4"/>
  <c r="K20" i="4"/>
  <c r="M8" i="4"/>
  <c r="L9" i="4"/>
  <c r="L35" i="4"/>
  <c r="K10" i="4"/>
  <c r="K11" i="4"/>
  <c r="K38" i="4" s="1"/>
  <c r="K7" i="5" s="1"/>
  <c r="K36" i="4"/>
  <c r="J12" i="4"/>
  <c r="J39" i="4" s="1"/>
  <c r="J37" i="4"/>
  <c r="J6" i="5" s="1"/>
  <c r="I8" i="5"/>
  <c r="I9" i="5"/>
  <c r="P9" i="5" s="1"/>
  <c r="C6" i="6"/>
  <c r="C9" i="6" s="1"/>
  <c r="P8" i="5"/>
  <c r="H10" i="5"/>
  <c r="H15" i="5" s="1"/>
  <c r="H20" i="5"/>
  <c r="F21" i="5"/>
  <c r="F16" i="5"/>
  <c r="B8" i="6"/>
  <c r="B10" i="6" s="1"/>
  <c r="F17" i="5"/>
  <c r="C28" i="8"/>
  <c r="J38" i="4"/>
  <c r="J7" i="5" s="1"/>
  <c r="I39" i="4"/>
  <c r="G15" i="5"/>
  <c r="M28" i="4" l="1"/>
  <c r="M29" i="4"/>
  <c r="L28" i="4"/>
  <c r="L29" i="4"/>
  <c r="M19" i="4"/>
  <c r="M20" i="4"/>
  <c r="L19" i="4"/>
  <c r="L20" i="4"/>
  <c r="M9" i="4"/>
  <c r="M35" i="4"/>
  <c r="L10" i="4"/>
  <c r="L11" i="4"/>
  <c r="L38" i="4" s="1"/>
  <c r="L7" i="5" s="1"/>
  <c r="L36" i="4"/>
  <c r="K12" i="4"/>
  <c r="K39" i="4" s="1"/>
  <c r="K37" i="4"/>
  <c r="K6" i="5" s="1"/>
  <c r="J8" i="5"/>
  <c r="J9" i="5"/>
  <c r="I10" i="5"/>
  <c r="I20" i="5"/>
  <c r="P20" i="5" s="1"/>
  <c r="H21" i="5"/>
  <c r="H16" i="5"/>
  <c r="B16" i="6"/>
  <c r="B24" i="6"/>
  <c r="G17" i="5"/>
  <c r="C29" i="8"/>
  <c r="G16" i="5"/>
  <c r="G21" i="5"/>
  <c r="K21" i="4"/>
  <c r="F27" i="8" l="1"/>
  <c r="M30" i="4"/>
  <c r="F26" i="8"/>
  <c r="M21" i="4"/>
  <c r="M10" i="4"/>
  <c r="M11" i="4"/>
  <c r="M38" i="4" s="1"/>
  <c r="M7" i="5" s="1"/>
  <c r="Q7" i="5" s="1"/>
  <c r="M36" i="4"/>
  <c r="L12" i="4"/>
  <c r="L39" i="4" s="1"/>
  <c r="L37" i="4"/>
  <c r="L6" i="5" s="1"/>
  <c r="K8" i="5"/>
  <c r="K9" i="5"/>
  <c r="J10" i="5"/>
  <c r="J20" i="5"/>
  <c r="P10" i="5"/>
  <c r="I15" i="5"/>
  <c r="H17" i="5"/>
  <c r="C30" i="8"/>
  <c r="L21" i="4"/>
  <c r="L30" i="4"/>
  <c r="F25" i="8" l="1"/>
  <c r="M12" i="4"/>
  <c r="M39" i="4" s="1"/>
  <c r="M37" i="4"/>
  <c r="M6" i="5" s="1"/>
  <c r="Q6" i="5" s="1"/>
  <c r="L8" i="5"/>
  <c r="L9" i="5"/>
  <c r="K10" i="5"/>
  <c r="K15" i="5" s="1"/>
  <c r="K20" i="5"/>
  <c r="J15" i="5"/>
  <c r="P15" i="5"/>
  <c r="I21" i="5"/>
  <c r="P21" i="5" s="1"/>
  <c r="I16" i="5"/>
  <c r="I17" i="5"/>
  <c r="C31" i="8"/>
  <c r="M8" i="5" l="1"/>
  <c r="Q8" i="5" s="1"/>
  <c r="M9" i="5"/>
  <c r="Q9" i="5" s="1"/>
  <c r="C18" i="8" s="1"/>
  <c r="D6" i="6"/>
  <c r="D9" i="6" s="1"/>
  <c r="C5" i="8"/>
  <c r="L10" i="5"/>
  <c r="L20" i="5"/>
  <c r="K16" i="5"/>
  <c r="K21" i="5"/>
  <c r="J21" i="5"/>
  <c r="J16" i="5"/>
  <c r="C7" i="6"/>
  <c r="P16" i="5"/>
  <c r="J17" i="5"/>
  <c r="C32" i="8"/>
  <c r="M10" i="5" l="1"/>
  <c r="M20" i="5"/>
  <c r="Q20" i="5" s="1"/>
  <c r="L15" i="5"/>
  <c r="C8" i="6"/>
  <c r="C10" i="6" s="1"/>
  <c r="K17" i="5"/>
  <c r="C33" i="8"/>
  <c r="Q15" i="5" l="1"/>
  <c r="L16" i="5"/>
  <c r="L21" i="5"/>
  <c r="C16" i="6"/>
  <c r="C24" i="6"/>
  <c r="L17" i="5"/>
  <c r="C34" i="8"/>
  <c r="M15" i="5"/>
  <c r="Q10" i="5"/>
  <c r="D7" i="6" l="1"/>
  <c r="Q16" i="5"/>
  <c r="B27" i="7"/>
  <c r="C27" i="7"/>
  <c r="D27" i="7"/>
  <c r="E27" i="7"/>
  <c r="F27" i="7"/>
  <c r="M17" i="5"/>
  <c r="C35" i="8"/>
  <c r="M21" i="5"/>
  <c r="Q21" i="5" s="1"/>
  <c r="C17" i="8" s="1"/>
  <c r="M16" i="5"/>
  <c r="D8" i="6" l="1"/>
  <c r="D10" i="6"/>
  <c r="B21" i="6"/>
  <c r="B22" i="6"/>
  <c r="C7" i="8" s="1"/>
  <c r="C36" i="8"/>
  <c r="C6" i="8"/>
  <c r="D18" i="7" l="1"/>
  <c r="E18" i="7"/>
  <c r="F18" i="7"/>
  <c r="B19" i="7"/>
  <c r="C19" i="7"/>
  <c r="B21" i="7"/>
  <c r="E21" i="7"/>
  <c r="D19" i="7"/>
  <c r="B17" i="7"/>
  <c r="D17" i="7"/>
  <c r="F17" i="7"/>
  <c r="C18" i="7"/>
  <c r="B20" i="7"/>
  <c r="D21" i="7"/>
  <c r="C17" i="7"/>
  <c r="E17" i="7"/>
  <c r="B18" i="7"/>
  <c r="E19" i="7"/>
  <c r="F19" i="7"/>
  <c r="C20" i="7"/>
  <c r="D20" i="7"/>
  <c r="E20" i="7"/>
  <c r="F20" i="7"/>
  <c r="C21" i="7"/>
  <c r="F21" i="7"/>
  <c r="E11" i="6"/>
  <c r="D16" i="6"/>
  <c r="C8" i="8"/>
  <c r="B23" i="6"/>
  <c r="E16" i="6" l="1"/>
  <c r="B17" i="6" s="1"/>
  <c r="B18" i="6" s="1"/>
  <c r="F5" i="8" s="1"/>
  <c r="D24" i="6"/>
  <c r="B25" i="6" s="1"/>
  <c r="F6" i="8" s="1"/>
</calcChain>
</file>

<file path=xl/sharedStrings.xml><?xml version="1.0" encoding="utf-8"?>
<sst xmlns="http://schemas.openxmlformats.org/spreadsheetml/2006/main" count="273" uniqueCount="195">
  <si>
    <t>THE DELHIVERY WAY</t>
  </si>
  <si>
    <t>Team</t>
  </si>
  <si>
    <t>Competition</t>
  </si>
  <si>
    <t>Purpose of this workbook</t>
  </si>
  <si>
    <t>Quantify and stress-test the GTM strategy proposed in the case deck: FPDR customer prioritization, phased rollout (Pilot -&gt; Cluster -&gt; National), and the 'Delhivery Direct' app economics.</t>
  </si>
  <si>
    <t>Companion analytics project</t>
  </si>
  <si>
    <t>Currency convention</t>
  </si>
  <si>
    <t>WORKBOOK MAP</t>
  </si>
  <si>
    <t>Assumptions</t>
  </si>
  <si>
    <t>LTV_Model</t>
  </si>
  <si>
    <t>Volume_Build</t>
  </si>
  <si>
    <t>Quarterly (12Q / 3-yr) sender acquisition, active base, shipment volume by segment</t>
  </si>
  <si>
    <t>PnL</t>
  </si>
  <si>
    <t>Quarterly &amp; annual P&amp;L for the Delhivery Direct vertical; break-even quarter</t>
  </si>
  <si>
    <t>DCF_Valuation</t>
  </si>
  <si>
    <t>Free cash flow build, NPV / IRR of the initiative, terminal value</t>
  </si>
  <si>
    <t>Sensitivity</t>
  </si>
  <si>
    <t>LTV:CAC and NPV sensitivity to churn, CAC and WACC/terminal growth</t>
  </si>
  <si>
    <t>Dashboard</t>
  </si>
  <si>
    <t>Color key: Blue = hardcoded input/assumption | Black = formula/calculation | Green = link from another sheet</t>
  </si>
  <si>
    <t>ASSUMPTIONS</t>
  </si>
  <si>
    <t>1. MARKET CONTEXT  (sourced from case deck, Executive Summary slide)</t>
  </si>
  <si>
    <t>Indian CEP market size, FY25 (Rs Bn)</t>
  </si>
  <si>
    <t>Source: case deck, Executive Summary</t>
  </si>
  <si>
    <t>Market CAGR</t>
  </si>
  <si>
    <t>Delhivery current backend share of C2C-adjacent ecosystem</t>
  </si>
  <si>
    <t>Midpoint of case deck's stated 20-22% range</t>
  </si>
  <si>
    <t>2. FINANCE / VALUATION ASSUMPTIONS</t>
  </si>
  <si>
    <t>WACC (annual discount rate)</t>
  </si>
  <si>
    <t>Terminal growth rate (post Year 3)</t>
  </si>
  <si>
    <t>Corporate tax rate</t>
  </si>
  <si>
    <t>Maintenance capex (% of revenue)</t>
  </si>
  <si>
    <t>3. FPDR SEGMENT UNIT ECONOMICS  (from case deck's FPDR framework)</t>
  </si>
  <si>
    <t>Metric</t>
  </si>
  <si>
    <t>Homepreneurs /
Social Sellers</t>
  </si>
  <si>
    <t>Students &amp;
Migrants</t>
  </si>
  <si>
    <t>C2C Marketplace
Sellers</t>
  </si>
  <si>
    <t>Avg. shipments / active sender / month</t>
  </si>
  <si>
    <t>Avg. revenue per shipment (Rs)</t>
  </si>
  <si>
    <t>Avg. variable cost per shipment (Rs)*</t>
  </si>
  <si>
    <t>Contribution margin per shipment (Rs)</t>
  </si>
  <si>
    <t>Contribution margin %</t>
  </si>
  <si>
    <t>Monthly retention rate (active sender)</t>
  </si>
  <si>
    <t>Monthly churn rate</t>
  </si>
  <si>
    <t>Quarterly retention rate</t>
  </si>
  <si>
    <t>CAC per new active sender (Rs)</t>
  </si>
  <si>
    <t>*Variable cost = first/mid-mile linehaul + last-mile delivery + packaging kit + embedded micro-insurance + support/claims handling</t>
  </si>
  <si>
    <t>4. OPEX ASSUMPTIONS  (Rs Lakh per quarter, by year of build-out)</t>
  </si>
  <si>
    <t>Year 1
(Pilot+Cluster)</t>
  </si>
  <si>
    <t>Year 2</t>
  </si>
  <si>
    <t>Year 3</t>
  </si>
  <si>
    <t>Tech &amp; platform opex / quarter</t>
  </si>
  <si>
    <t>Ops team opex / quarter (CX, BD, packaging SOP audit)</t>
  </si>
  <si>
    <t>Baseline claims/damage cost (% of revenue) without proactive intervention</t>
  </si>
  <si>
    <t>Breach-driven claims avoided via SLA-breach prediction model</t>
  </si>
  <si>
    <t>Share of claims pre-empted because ops is alerted before the SLA is breached</t>
  </si>
  <si>
    <t>Net claims-cost saving (% of revenue), formula</t>
  </si>
  <si>
    <t>CAC efficiency gain from LTV-model-led spend reallocation</t>
  </si>
  <si>
    <t>Reduction in blended CAC from directing acquisition spend toward high-predicted-LTV cohorts instead of untargeted spend</t>
  </si>
  <si>
    <t>Monthly discount rate</t>
  </si>
  <si>
    <t>Deterministic cohort decay used as the finance layer's input; a production system would swap in the ML platform's per-cohort survival curve</t>
  </si>
  <si>
    <t>Homepreneurs / Social Sellers</t>
  </si>
  <si>
    <t>Students &amp; Migrants</t>
  </si>
  <si>
    <t>C2C Marketplace Sellers</t>
  </si>
  <si>
    <t>Month (t)</t>
  </si>
  <si>
    <t>Retention</t>
  </si>
  <si>
    <t>Monthly CM
(Rs)</t>
  </si>
  <si>
    <t>Discount
factor</t>
  </si>
  <si>
    <t>Discounted
CM (Rs)</t>
  </si>
  <si>
    <t>Cumulative
Disc. CM (Rs)</t>
  </si>
  <si>
    <t>LTV SUMMARY &amp; VALIDATION</t>
  </si>
  <si>
    <t>LTV — 36-month discounted cohort sum (Rs)</t>
  </si>
  <si>
    <t>LTV — closed-form infinite-horizon cross-check (Rs)</t>
  </si>
  <si>
    <t>Closed form: LTV = CM0 / (1 - retention/(1+i));  cross-checks the truncated 36-month sum above</t>
  </si>
  <si>
    <t>LTV : CAC ratio (36-month basis)</t>
  </si>
  <si>
    <t>Approx. payback period (months)</t>
  </si>
  <si>
    <t>Month index (0-based) at which cumulative discounted contribution margin first recovers CAC</t>
  </si>
  <si>
    <t>Phase 1 Pilot (Q1) -&gt; Phase 2 Cluster Expansion (Q2-Q3) -&gt; Phase 3 National Scale (Q4-Q12)</t>
  </si>
  <si>
    <t>Year 1 (Pilot + Cluster Expansion)</t>
  </si>
  <si>
    <t>Year 2 (National Scale)</t>
  </si>
  <si>
    <t>Year 3 (National Scale, mature)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</si>
  <si>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</si>
  <si>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</si>
  <si>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</si>
  <si>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</si>
  <si>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</si>
  <si>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</si>
  <si>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</si>
  <si>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</si>
  <si>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</si>
  <si>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</si>
  <si>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</si>
  <si>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</si>
  <si>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HOMEPRENEURS / SOCIAL SELLERS</t>
  </si>
  <si>
    <t>New active senders acquired (input)</t>
  </si>
  <si>
    <t>Active senders (end of quarter)</t>
  </si>
  <si>
    <t>Shipments in quarter</t>
  </si>
  <si>
    <t>Revenue (Rs Lakh)</t>
  </si>
  <si>
    <t>Variable cost (Rs Lakh)</t>
  </si>
  <si>
    <t>Contribution margin (Rs Lakh)</t>
  </si>
  <si>
    <t>Marketing / CAC spend (Rs Lakh)</t>
  </si>
  <si>
    <t>STUDENTS &amp; MIGRANTS</t>
  </si>
  <si>
    <t>C2C MARKETPLACE SELLERS</t>
  </si>
  <si>
    <t>TOTAL — DELHIVERY DIRECT (ALL FPDR SEGMENTS)</t>
  </si>
  <si>
    <t>New active senders acquired</t>
  </si>
  <si>
    <t>Quarterly build, 3-year horizon, showing the quantified contribution of the ML analytics layer</t>
  </si>
  <si>
    <t>Year 1</t>
  </si>
  <si>
    <t>FY1</t>
  </si>
  <si>
    <t>FY2</t>
  </si>
  <si>
    <t>FY3</t>
  </si>
  <si>
    <t>Gross contribution margin (Rs Lakh)</t>
  </si>
  <si>
    <t>(+) Claims-cost saved: SLA-breach prediction model</t>
  </si>
  <si>
    <t>Adjusted contribution margin (Rs Lakh)</t>
  </si>
  <si>
    <t>(-) Marketing / CAC spend, net of LTV-model efficiency gain</t>
  </si>
  <si>
    <t>(-) Tech &amp; platform opex</t>
  </si>
  <si>
    <t>(-) Ops team opex</t>
  </si>
  <si>
    <t>EBITDA (Rs Lakh)</t>
  </si>
  <si>
    <t>EBITDA margin %</t>
  </si>
  <si>
    <t>Cumulative EBITDA (Rs Lakh) — funding need / cash generated</t>
  </si>
  <si>
    <t>MEMO: VALUE CREATED BY THE ML ANALYTICS LAYER</t>
  </si>
  <si>
    <t>Memo: EBITDA excluding ML-layer benefits (baseline, no analytics)</t>
  </si>
  <si>
    <t>Memo: Incremental EBITDA from ML analytics layer (SLA-breach + LTV models)</t>
  </si>
  <si>
    <t>1. FREE CASH FLOW BUILD (Rs Lakh)</t>
  </si>
  <si>
    <t>Terminal</t>
  </si>
  <si>
    <t>Revenue</t>
  </si>
  <si>
    <t>EBITDA</t>
  </si>
  <si>
    <t>Less: Tax (on positive EBITDA only)</t>
  </si>
  <si>
    <t>Less: Maintenance capex (% of revenue)</t>
  </si>
  <si>
    <t>Free cash flow (FCF)</t>
  </si>
  <si>
    <t>Terminal value (perpetuity on Yr-3 FCF)</t>
  </si>
  <si>
    <t>2. DISCOUNTING &amp; NPV</t>
  </si>
  <si>
    <t>Terminal (in Yr 3)</t>
  </si>
  <si>
    <t>Discount factor @ WACC</t>
  </si>
  <si>
    <t>PV of FCF / Terminal value</t>
  </si>
  <si>
    <t>NPV of the initiative (Rs Lakh)</t>
  </si>
  <si>
    <t>NPV of the initiative (Rs Crore)</t>
  </si>
  <si>
    <t>3. FUNDING NEED, BREAK-EVEN &amp; IRR</t>
  </si>
  <si>
    <t>Break-even quarter (of 12)</t>
  </si>
  <si>
    <t>Cash flow series for IRR: Year 0 (investment)</t>
  </si>
  <si>
    <t>Year 1 / Year 2 / Year 3 (incl. terminal value)</t>
  </si>
  <si>
    <t>Project IRR (3-year + terminal value)</t>
  </si>
  <si>
    <t>SENSITIVITY ANALYSIS</t>
  </si>
  <si>
    <t>Monthly retention -&gt;</t>
  </si>
  <si>
    <t>CAC (Rs) (rows)</t>
  </si>
  <si>
    <t>WACC (rows) / Terminal growth (cols) -&gt;</t>
  </si>
  <si>
    <t>3. WHAT-IF: MARKETING EFFICIENCY OF THE LTV MODEL</t>
  </si>
  <si>
    <t>CAC efficiency gain assumed</t>
  </si>
  <si>
    <t>Resulting 3-yr EBITDA (Rs Lakh)</t>
  </si>
  <si>
    <t>Shows 3-yr EBITDA if the LTV-model-driven CAC efficiency gain differs from the 12% base case; illustrates the $ stake of the ML platform's targeting quality.</t>
  </si>
  <si>
    <t>3-yr cumulative revenue (Rs Cr)</t>
  </si>
  <si>
    <t>Project NPV (Rs Cr, base case)</t>
  </si>
  <si>
    <t>3-yr cumulative EBITDA (Rs Cr)</t>
  </si>
  <si>
    <t>Project IRR (3-yr + terminal)</t>
  </si>
  <si>
    <t>Peak funding need (Rs Cr)</t>
  </si>
  <si>
    <t>SEGMENT ECONOMICS AT A GLANCE (from FPDR framework)</t>
  </si>
  <si>
    <t>Segment</t>
  </si>
  <si>
    <t>LTV (Rs, 36mo)</t>
  </si>
  <si>
    <t>CAC (Rs)</t>
  </si>
  <si>
    <t>LTV:CAC</t>
  </si>
  <si>
    <t>Payback (mo)</t>
  </si>
  <si>
    <t>VALUE CREATED BY THE ML ANALYTICS LAYER (LTV / delay / SLA-breach models)</t>
  </si>
  <si>
    <t>3-yr incremental EBITDA from ML layer (Rs Cr)</t>
  </si>
  <si>
    <t>of which: claims-cost avoided (SLA-breach model)</t>
  </si>
  <si>
    <t>of which: CAC saved via LTV-model targeting (Rs Cr, approx.)</t>
  </si>
  <si>
    <t>Quarter</t>
  </si>
  <si>
    <t>Cumulative EBITDA (Rs Lakh)</t>
  </si>
  <si>
    <t>3-yr Revenue (Rs Lakh)</t>
  </si>
  <si>
    <t>Delhivery Direct (C2C) : Financial &amp; Valuation Model</t>
  </si>
  <si>
    <t>The Solvoholics : Nikhil Menaria, Hiyanshu Gupta</t>
  </si>
  <si>
    <t>The Delhivery Way : E-Cell, IIT Kharagpur (Preliminary Round, Finalist submission)</t>
  </si>
  <si>
    <t>ML powered logistics analytics platform (LTV prediction, delay forecasting, SLA-breach prediction) ( github.com/kaunnikhil/c2c_logistics_delhivery)</t>
  </si>
  <si>
    <t>All figures in Indian Rupees (INR). Revenue/cost lines in Rs Lakh (1 Lakh = Rs 100,000) unless stated. Per unit shipment economics in Rs.</t>
  </si>
  <si>
    <t>Market context, segment unit economics, opex, ML layer impact assumptions (all blue inputs)</t>
  </si>
  <si>
    <t>36 month cohort LTV build per FPDR segment + closed-form LTV cross-check + LTV:CAC + payback</t>
  </si>
  <si>
    <t>One page executive summary + quantified value of the ML analytics layer</t>
  </si>
  <si>
    <t>5. ML ANALYTICS LAYER : IMPACT ASSUMPTIONS (links to the companion ML platform)</t>
  </si>
  <si>
    <t>Illustrative : mid-point for an Indian logistics-tech growth initiative</t>
  </si>
  <si>
    <t>App/tech maintenance, device &amp; packaging kit capex</t>
  </si>
  <si>
    <t>LTV MODEL: 36-MONTH COHORT BUILD BY FPDR SEGMENT</t>
  </si>
  <si>
    <t>VOLUME BUILD : QUARTERLY ACQUISITION &amp; SHIPMENT VOLUME (3-YEAR / 12-QUARTER)</t>
  </si>
  <si>
    <t>P&amp;L: DELHIVERY DIRECT (C2C) VERTICAL</t>
  </si>
  <si>
    <t>DCF &amp; VALUATION : DELHIVERY DIRECT (C2C) INITIATIVE</t>
  </si>
  <si>
    <t>Cell = closed-form LTV(retention) / CAC.  Base case (90% retention, Rs350 CAC) sits at the centre ( highlighted below)</t>
  </si>
  <si>
    <t>1. LTV : CAC SENSITIVITY : HOMEPRENEURS / SOCIAL SELLERS (primary FPDR entry segment)</t>
  </si>
  <si>
    <t>2. NPV SENSITIVITY (Rs Lakh) : WACC vs TERMINAL GROWTH</t>
  </si>
  <si>
    <t>EXECUTIVE DASHBOARD : DELHIVERY DIRECT (C2C) FINANCIAL CASE</t>
  </si>
  <si>
    <t>HEADLINE RESULTS (3 YR HORIZON)</t>
  </si>
  <si>
    <t>Blended LTV:CAC : Homepreneurs</t>
  </si>
  <si>
    <t>Blended LTV:CAC : C2C Marketplace</t>
  </si>
  <si>
    <t>Base case (WACC 14%, terminal growth 5%) reconciles to DCF_Valuation!B17(NPV).</t>
  </si>
  <si>
    <t>All hardcoded inputs live here : change these to run the model</t>
  </si>
  <si>
    <t>Peak funding need before breakeven (Rs Lakh)</t>
  </si>
  <si>
    <t>IRR cashflow series: Year0 = -(peak cumulative funding need), Year1-3 = FCF (Year 3 incl. terminal value)</t>
  </si>
  <si>
    <t>How fragile is the case's economics to churn, CAC and cost of capital assumptions?</t>
  </si>
  <si>
    <t>Is the FPDR led GTM strategy proposed in the case NPV positive on a standalone basis?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</si>
</sst>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%;\(0%\);\-"/>
    <numFmt numFmtId="166" formatCode="0.0%;\(0.0%\);\-"/>
    <numFmt numFmtId="167" formatCode="#,##0.0;\(#,##0.0\);\-"/>
    <numFmt numFmtId="168" formatCode="#,##0.00;\(#,##0.00\);\-"/>
    <numFmt numFmtId="169" formatCode="0.00\x"/>
  </numFmts>
  <fonts count="13" x14ac:knownFonts="1">
    <font>
      <sz val="11"/>
      <color theme="1"/>
      <name val="Calibri"/>
      <family val="2"/>
      <charset val="1"/>
    </font>
    <font>
      <b/>
      <sz val="22"/>
      <color rgb="FF1F2A44"/>
      <name val="Arial"/>
      <charset val="1"/>
    </font>
    <font>
      <b/>
      <sz val="14"/>
      <color rgb="FFD9432E"/>
      <name val="Arial"/>
      <charset val="1"/>
    </font>
    <font>
      <i/>
      <sz val="10"/>
      <color rgb="FF40404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i/>
      <sz val="8"/>
      <color rgb="FF808080"/>
      <name val="Arial"/>
      <charset val="1"/>
    </font>
    <font>
      <b/>
      <sz val="16"/>
      <color rgb="FF1F2A44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sz val="10"/>
      <color rgb="FF008000"/>
      <name val="Arial"/>
      <charset val="1"/>
    </font>
    <font>
      <b/>
      <sz val="12"/>
      <color rgb="FFD9432E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432E"/>
        <bgColor rgb="FF993300"/>
      </patternFill>
    </fill>
    <fill>
      <patternFill patternType="solid">
        <fgColor rgb="FF1F2A44"/>
        <b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 applyAlignment="1">
      <alignment vertical="top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164" fontId="9" fillId="0" borderId="0" xfId="0" applyNumberFormat="1" applyFont="1"/>
    <xf numFmtId="165" fontId="9" fillId="0" borderId="0" xfId="0" applyNumberFormat="1" applyFont="1"/>
    <xf numFmtId="0" fontId="10" fillId="3" borderId="1" xfId="0" applyFont="1" applyFill="1" applyBorder="1" applyAlignment="1">
      <alignment horizontal="center" vertical="center" wrapText="1"/>
    </xf>
    <xf numFmtId="3" fontId="9" fillId="0" borderId="0" xfId="0" applyNumberFormat="1" applyFont="1"/>
    <xf numFmtId="164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166" fontId="11" fillId="0" borderId="0" xfId="0" applyNumberFormat="1" applyFont="1"/>
    <xf numFmtId="0" fontId="10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7" fontId="5" fillId="0" borderId="0" xfId="0" applyNumberFormat="1" applyFont="1"/>
    <xf numFmtId="168" fontId="5" fillId="0" borderId="0" xfId="0" applyNumberFormat="1" applyFont="1"/>
    <xf numFmtId="164" fontId="4" fillId="0" borderId="0" xfId="0" applyNumberFormat="1" applyFont="1"/>
    <xf numFmtId="164" fontId="11" fillId="0" borderId="0" xfId="0" applyNumberFormat="1" applyFont="1"/>
    <xf numFmtId="169" fontId="4" fillId="0" borderId="0" xfId="0" applyNumberFormat="1" applyFont="1"/>
    <xf numFmtId="3" fontId="5" fillId="0" borderId="0" xfId="0" applyNumberFormat="1" applyFont="1"/>
    <xf numFmtId="0" fontId="10" fillId="3" borderId="1" xfId="0" applyFont="1" applyFill="1" applyBorder="1"/>
    <xf numFmtId="3" fontId="4" fillId="0" borderId="0" xfId="0" applyNumberFormat="1" applyFont="1"/>
    <xf numFmtId="167" fontId="4" fillId="0" borderId="0" xfId="0" applyNumberFormat="1" applyFont="1"/>
    <xf numFmtId="0" fontId="10" fillId="3" borderId="0" xfId="0" applyFont="1" applyFill="1"/>
    <xf numFmtId="167" fontId="11" fillId="0" borderId="0" xfId="0" applyNumberFormat="1" applyFont="1"/>
    <xf numFmtId="166" fontId="4" fillId="0" borderId="0" xfId="0" applyNumberFormat="1" applyFont="1"/>
    <xf numFmtId="169" fontId="5" fillId="0" borderId="0" xfId="0" applyNumberFormat="1" applyFont="1"/>
    <xf numFmtId="167" fontId="12" fillId="0" borderId="0" xfId="0" applyNumberFormat="1" applyFont="1"/>
    <xf numFmtId="166" fontId="12" fillId="0" borderId="0" xfId="0" applyNumberFormat="1" applyFont="1"/>
    <xf numFmtId="3" fontId="12" fillId="0" borderId="0" xfId="0" applyNumberFormat="1" applyFont="1"/>
    <xf numFmtId="169" fontId="12" fillId="0" borderId="0" xfId="0" applyNumberFormat="1" applyFont="1"/>
    <xf numFmtId="0" fontId="0" fillId="0" borderId="0" xfId="0" applyAlignment="1">
      <alignment wrapText="1"/>
    </xf>
    <xf numFmtId="0" fontId="8" fillId="0" borderId="0" xfId="0" applyFont="1"/>
    <xf numFmtId="0" fontId="3" fillId="0" borderId="0" xfId="0" applyFont="1"/>
    <xf numFmtId="0" fontId="6" fillId="2" borderId="0" xfId="0" applyFont="1" applyFill="1" applyAlignment="1">
      <alignment vertical="center" indent="1"/>
    </xf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D9432E"/>
      <rgbColor rgb="FF4A7EBB"/>
      <rgbColor rgb="FF878787"/>
      <rgbColor rgb="FF1F2A4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Cumulative EBITDA trajectory — Delhivery Direct (Rs Lakh)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Dashboard!$C$24</c:f>
              <c:strCache>
                <c:ptCount val="1"/>
                <c:pt idx="0">
                  <c:v>Cumulative EBITDA (Rs Lakh)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Dashboard!$B$25:$B$36</c:f>
              <c:strCache>
                <c:ptCount val="12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</c:strCache>
            </c:strRef>
          </c:cat>
          <c:val>
            <c:numRef>
              <c:f>Dashboard!$C$25:$C$36</c:f>
              <c:numCache>
                <c:formatCode>#,##0.0;\(#,##0.0\);\-</c:formatCode>
                <c:ptCount val="12"/>
                <c:pt idx="0">
                  <c:v>-38.127440000000007</c:v>
                </c:pt>
                <c:pt idx="1">
                  <c:v>-41.281633199999995</c:v>
                </c:pt>
                <c:pt idx="2">
                  <c:v>3.4882247291999349</c:v>
                </c:pt>
                <c:pt idx="3">
                  <c:v>104.61945732150281</c:v>
                </c:pt>
                <c:pt idx="4">
                  <c:v>229.3148485888089</c:v>
                </c:pt>
                <c:pt idx="5">
                  <c:v>411.83034518340082</c:v>
                </c:pt>
                <c:pt idx="6">
                  <c:v>644.31465797135343</c:v>
                </c:pt>
                <c:pt idx="7">
                  <c:v>920.25738036711641</c:v>
                </c:pt>
                <c:pt idx="8">
                  <c:v>1190.7129361073735</c:v>
                </c:pt>
                <c:pt idx="9">
                  <c:v>1497.0091856261367</c:v>
                </c:pt>
                <c:pt idx="10">
                  <c:v>1837.2665641206797</c:v>
                </c:pt>
                <c:pt idx="11">
                  <c:v>2209.3179962825479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95-4688-BCD1-91CF1EE35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29456402"/>
        <c:axId val="51455595"/>
      </c:lineChart>
      <c:catAx>
        <c:axId val="29456402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5595"/>
        <c:crosses val="autoZero"/>
        <c:auto val="1"/>
        <c:lblAlgn val="ctr"/>
        <c:lblOffset val="100"/>
        <c:noMultiLvlLbl val="0"/>
      </c:catAx>
      <c:valAx>
        <c:axId val="514555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Rs Lakh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64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3-year revenue by FPDR segment (Rs Lakh)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Dashboard!$F$24</c:f>
              <c:strCache>
                <c:ptCount val="1"/>
                <c:pt idx="0">
                  <c:v>3-yr Revenue (Rs Lakh)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Dashboard!$E$25:$E$27</c:f>
              <c:strCache>
                <c:ptCount val="3"/>
                <c:pt idx="0">
                  <c:v>Homepreneurs /
Social Sellers</c:v>
                </c:pt>
                <c:pt idx="1">
                  <c:v>Students &amp; Migrants</c:v>
                </c:pt>
                <c:pt idx="2">
                  <c:v>C2C Marketplace Sellers</c:v>
                </c:pt>
              </c:strCache>
            </c:strRef>
          </c:cat>
          <c:val>
            <c:numRef>
              <c:f>Dashboard!$F$25:$F$27</c:f>
              <c:numCache>
                <c:formatCode>#,##0.0;\(#,##0.0\);\-</c:formatCode>
                <c:ptCount val="3"/>
                <c:pt idx="0">
                  <c:v>11823.542154914601</c:v>
                </c:pt>
                <c:pt idx="1">
                  <c:v>609.30677563583731</c:v>
                </c:pt>
                <c:pt idx="2">
                  <c:v>114.8641399416933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3-41DB-A66B-921B4082B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58233"/>
        <c:axId val="12714129"/>
      </c:barChart>
      <c:catAx>
        <c:axId val="169582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4129"/>
        <c:crosses val="autoZero"/>
        <c:auto val="1"/>
        <c:lblAlgn val="ctr"/>
        <c:lblOffset val="100"/>
        <c:noMultiLvlLbl val="0"/>
      </c:catAx>
      <c:valAx>
        <c:axId val="127141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Rs Lakh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2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36</xdr:row>
      <xdr:rowOff>105000</xdr:rowOff>
    </xdr:from>
    <xdr:to>
      <xdr:col>4</xdr:col>
      <xdr:colOff>1758540</xdr:colOff>
      <xdr:row>51</xdr:row>
      <xdr:rowOff>141840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2186940</xdr:colOff>
      <xdr:row>36</xdr:row>
      <xdr:rowOff>112620</xdr:rowOff>
    </xdr:from>
    <xdr:to>
      <xdr:col>11</xdr:col>
      <xdr:colOff>181740</xdr:colOff>
      <xdr:row>51</xdr:row>
      <xdr:rowOff>149460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</sheetPr>
  <dimension ref="A3:D28"/>
  <sheetViews>
    <sheetView showGridLines="0" tabSelected="1" topLeftCell="B9" zoomScaleNormal="100" workbookViewId="0">
      <selection activeCell="E19" sqref="E19"/>
    </sheetView>
  </sheetViews>
  <sheetFormatPr defaultColWidth="8.6640625" defaultRowHeight="14.4" x14ac:dyDescent="0.3"/>
  <cols>
    <col min="1" max="1" width="4" customWidth="1"/>
    <col min="2" max="4" width="32" customWidth="1"/>
    <col min="5" max="5" width="20" customWidth="1"/>
  </cols>
  <sheetData>
    <row r="3" spans="2:4" ht="26.25" customHeight="1" x14ac:dyDescent="0.5">
      <c r="B3" s="37" t="s">
        <v>0</v>
      </c>
      <c r="C3" s="37"/>
      <c r="D3" s="37"/>
    </row>
    <row r="4" spans="2:4" ht="17.25" customHeight="1" x14ac:dyDescent="0.3">
      <c r="B4" s="38" t="s">
        <v>167</v>
      </c>
      <c r="C4" s="38"/>
      <c r="D4" s="38"/>
    </row>
    <row r="5" spans="2:4" ht="15" customHeight="1" x14ac:dyDescent="0.3">
      <c r="B5" s="34"/>
      <c r="C5" s="34"/>
      <c r="D5" s="34"/>
    </row>
    <row r="7" spans="2:4" ht="31.5" customHeight="1" x14ac:dyDescent="0.3">
      <c r="B7" s="1" t="s">
        <v>1</v>
      </c>
      <c r="C7" s="36" t="s">
        <v>168</v>
      </c>
      <c r="D7" s="36"/>
    </row>
    <row r="9" spans="2:4" ht="31.5" customHeight="1" x14ac:dyDescent="0.3">
      <c r="B9" s="1" t="s">
        <v>2</v>
      </c>
      <c r="C9" s="36" t="s">
        <v>169</v>
      </c>
      <c r="D9" s="36"/>
    </row>
    <row r="11" spans="2:4" ht="31.5" customHeight="1" x14ac:dyDescent="0.3">
      <c r="B11" s="1" t="s">
        <v>3</v>
      </c>
      <c r="C11" s="36" t="s">
        <v>4</v>
      </c>
      <c r="D11" s="36"/>
    </row>
    <row r="13" spans="2:4" ht="31.5" customHeight="1" x14ac:dyDescent="0.3">
      <c r="B13" s="1" t="s">
        <v>5</v>
      </c>
      <c r="C13" s="36" t="s">
        <v>170</v>
      </c>
      <c r="D13" s="36"/>
    </row>
    <row r="15" spans="2:4" ht="31.5" customHeight="1" x14ac:dyDescent="0.3">
      <c r="B15" s="1" t="s">
        <v>6</v>
      </c>
      <c r="C15" s="36" t="s">
        <v>171</v>
      </c>
      <c r="D15" s="36"/>
    </row>
    <row r="18" spans="1:4" ht="18" customHeight="1" x14ac:dyDescent="0.3">
      <c r="A18" s="35" t="s">
        <v>7</v>
      </c>
      <c r="B18" s="35"/>
      <c r="C18" s="35"/>
      <c r="D18" s="35"/>
    </row>
    <row r="20" spans="1:4" ht="27.75" customHeight="1" x14ac:dyDescent="0.3">
      <c r="B20" s="2" t="s">
        <v>8</v>
      </c>
      <c r="C20" s="36" t="s">
        <v>172</v>
      </c>
      <c r="D20" s="36"/>
    </row>
    <row r="21" spans="1:4" ht="27.75" customHeight="1" x14ac:dyDescent="0.3">
      <c r="B21" s="2" t="s">
        <v>9</v>
      </c>
      <c r="C21" s="36" t="s">
        <v>173</v>
      </c>
      <c r="D21" s="36"/>
    </row>
    <row r="22" spans="1:4" ht="27.75" customHeight="1" x14ac:dyDescent="0.3">
      <c r="B22" s="2" t="s">
        <v>10</v>
      </c>
      <c r="C22" s="36" t="s">
        <v>11</v>
      </c>
      <c r="D22" s="36"/>
    </row>
    <row r="23" spans="1:4" ht="27.75" customHeight="1" x14ac:dyDescent="0.3">
      <c r="B23" s="2" t="s">
        <v>12</v>
      </c>
      <c r="C23" s="36" t="s">
        <v>13</v>
      </c>
      <c r="D23" s="36"/>
    </row>
    <row r="24" spans="1:4" ht="27.75" customHeight="1" x14ac:dyDescent="0.3">
      <c r="B24" s="2" t="s">
        <v>14</v>
      </c>
      <c r="C24" s="36" t="s">
        <v>15</v>
      </c>
      <c r="D24" s="36"/>
    </row>
    <row r="25" spans="1:4" ht="27.75" customHeight="1" x14ac:dyDescent="0.3">
      <c r="B25" s="2" t="s">
        <v>16</v>
      </c>
      <c r="C25" s="36" t="s">
        <v>17</v>
      </c>
      <c r="D25" s="36"/>
    </row>
    <row r="26" spans="1:4" ht="27.75" customHeight="1" x14ac:dyDescent="0.3">
      <c r="B26" s="2" t="s">
        <v>18</v>
      </c>
      <c r="C26" s="36" t="s">
        <v>174</v>
      </c>
      <c r="D26" s="36"/>
    </row>
    <row r="28" spans="1:4" ht="15" customHeight="1" x14ac:dyDescent="0.3">
      <c r="B28" s="3" t="s">
        <v>19</v>
      </c>
    </row>
  </sheetData>
  <mergeCells count="16">
    <mergeCell ref="B3:D3"/>
    <mergeCell ref="B4:D4"/>
    <mergeCell ref="B5:D5"/>
    <mergeCell ref="C7:D7"/>
    <mergeCell ref="C9:D9"/>
    <mergeCell ref="C11:D11"/>
    <mergeCell ref="C13:D13"/>
    <mergeCell ref="C15:D15"/>
    <mergeCell ref="A18:D18"/>
    <mergeCell ref="C20:D20"/>
    <mergeCell ref="C26:D26"/>
    <mergeCell ref="C21:D21"/>
    <mergeCell ref="C22:D22"/>
    <mergeCell ref="C23:D23"/>
    <mergeCell ref="C24:D24"/>
    <mergeCell ref="C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432E"/>
  </sheetPr>
  <dimension ref="A1:F3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6" sqref="B36"/>
    </sheetView>
  </sheetViews>
  <sheetFormatPr defaultColWidth="8.6640625" defaultRowHeight="14.4" x14ac:dyDescent="0.3"/>
  <cols>
    <col min="1" max="1" width="42" customWidth="1"/>
    <col min="2" max="4" width="18" customWidth="1"/>
    <col min="5" max="5" width="4" customWidth="1"/>
    <col min="6" max="6" width="40" customWidth="1"/>
  </cols>
  <sheetData>
    <row r="1" spans="1:6" ht="24" customHeight="1" x14ac:dyDescent="0.4">
      <c r="A1" s="33" t="s">
        <v>20</v>
      </c>
      <c r="B1" s="33"/>
      <c r="C1" s="33"/>
      <c r="D1" s="33"/>
    </row>
    <row r="2" spans="1:6" ht="15" customHeight="1" x14ac:dyDescent="0.3">
      <c r="A2" s="34" t="s">
        <v>190</v>
      </c>
      <c r="B2" s="34"/>
      <c r="C2" s="34"/>
      <c r="D2" s="34"/>
    </row>
    <row r="3" spans="1:6" ht="6" customHeight="1" x14ac:dyDescent="0.3"/>
    <row r="4" spans="1:6" ht="18" customHeight="1" x14ac:dyDescent="0.3">
      <c r="A4" s="35" t="s">
        <v>21</v>
      </c>
      <c r="B4" s="35"/>
      <c r="C4" s="35"/>
      <c r="D4" s="35"/>
    </row>
    <row r="5" spans="1:6" ht="15" customHeight="1" x14ac:dyDescent="0.3">
      <c r="A5" s="4" t="s">
        <v>22</v>
      </c>
      <c r="B5" s="5">
        <v>879</v>
      </c>
      <c r="F5" s="3" t="s">
        <v>23</v>
      </c>
    </row>
    <row r="6" spans="1:6" ht="15" customHeight="1" x14ac:dyDescent="0.3">
      <c r="A6" s="4" t="s">
        <v>24</v>
      </c>
      <c r="B6" s="6">
        <v>0.1</v>
      </c>
    </row>
    <row r="7" spans="1:6" ht="15" customHeight="1" x14ac:dyDescent="0.3">
      <c r="A7" s="4" t="s">
        <v>25</v>
      </c>
      <c r="B7" s="6">
        <v>0.21</v>
      </c>
      <c r="F7" s="3" t="s">
        <v>26</v>
      </c>
    </row>
    <row r="9" spans="1:6" ht="18" customHeight="1" x14ac:dyDescent="0.3">
      <c r="A9" s="35" t="s">
        <v>27</v>
      </c>
      <c r="B9" s="35"/>
      <c r="C9" s="35"/>
      <c r="D9" s="35"/>
    </row>
    <row r="10" spans="1:6" ht="15" customHeight="1" x14ac:dyDescent="0.3">
      <c r="A10" s="4" t="s">
        <v>28</v>
      </c>
      <c r="B10" s="6">
        <v>0.14000000000000001</v>
      </c>
      <c r="F10" s="3" t="s">
        <v>176</v>
      </c>
    </row>
    <row r="11" spans="1:6" ht="15" customHeight="1" x14ac:dyDescent="0.3">
      <c r="A11" s="4" t="s">
        <v>29</v>
      </c>
      <c r="B11" s="6">
        <v>0.05</v>
      </c>
    </row>
    <row r="12" spans="1:6" ht="15" customHeight="1" x14ac:dyDescent="0.3">
      <c r="A12" s="4" t="s">
        <v>30</v>
      </c>
      <c r="B12" s="6">
        <v>0.25</v>
      </c>
    </row>
    <row r="13" spans="1:6" ht="15" customHeight="1" x14ac:dyDescent="0.3">
      <c r="A13" s="4" t="s">
        <v>31</v>
      </c>
      <c r="B13" s="6">
        <v>0.02</v>
      </c>
      <c r="F13" s="3" t="s">
        <v>177</v>
      </c>
    </row>
    <row r="15" spans="1:6" ht="18" customHeight="1" x14ac:dyDescent="0.3">
      <c r="A15" s="35" t="s">
        <v>32</v>
      </c>
      <c r="B15" s="35"/>
      <c r="C15" s="35"/>
      <c r="D15" s="35"/>
    </row>
    <row r="16" spans="1:6" ht="30" customHeight="1" x14ac:dyDescent="0.3">
      <c r="A16" s="7" t="s">
        <v>33</v>
      </c>
      <c r="B16" s="7" t="s">
        <v>34</v>
      </c>
      <c r="C16" s="7" t="s">
        <v>35</v>
      </c>
      <c r="D16" s="7" t="s">
        <v>36</v>
      </c>
    </row>
    <row r="17" spans="1:4" ht="15" customHeight="1" x14ac:dyDescent="0.3">
      <c r="A17" s="4" t="s">
        <v>37</v>
      </c>
      <c r="B17" s="8">
        <v>12</v>
      </c>
      <c r="C17" s="8">
        <v>2</v>
      </c>
      <c r="D17" s="8">
        <v>0.8</v>
      </c>
    </row>
    <row r="18" spans="1:4" ht="15" customHeight="1" x14ac:dyDescent="0.3">
      <c r="A18" s="4" t="s">
        <v>38</v>
      </c>
      <c r="B18" s="5">
        <v>70</v>
      </c>
      <c r="C18" s="5">
        <v>85</v>
      </c>
      <c r="D18" s="5">
        <v>95</v>
      </c>
    </row>
    <row r="19" spans="1:4" ht="15" customHeight="1" x14ac:dyDescent="0.3">
      <c r="A19" s="4" t="s">
        <v>39</v>
      </c>
      <c r="B19" s="5">
        <v>48</v>
      </c>
      <c r="C19" s="5">
        <v>55</v>
      </c>
      <c r="D19" s="5">
        <v>68</v>
      </c>
    </row>
    <row r="20" spans="1:4" ht="15" customHeight="1" x14ac:dyDescent="0.3">
      <c r="A20" s="4" t="s">
        <v>40</v>
      </c>
      <c r="B20" s="9">
        <f>B18-B19</f>
        <v>22</v>
      </c>
      <c r="C20" s="9">
        <f>C18-C19</f>
        <v>30</v>
      </c>
      <c r="D20" s="9">
        <f>D18-D19</f>
        <v>27</v>
      </c>
    </row>
    <row r="21" spans="1:4" ht="15" customHeight="1" x14ac:dyDescent="0.3">
      <c r="A21" s="4" t="s">
        <v>41</v>
      </c>
      <c r="B21" s="10">
        <f>B20/B18</f>
        <v>0.31428571428571428</v>
      </c>
      <c r="C21" s="10">
        <f>C20/C18</f>
        <v>0.35294117647058826</v>
      </c>
      <c r="D21" s="10">
        <f>D20/D18</f>
        <v>0.28421052631578947</v>
      </c>
    </row>
    <row r="22" spans="1:4" ht="15" customHeight="1" x14ac:dyDescent="0.3">
      <c r="A22" s="4" t="s">
        <v>42</v>
      </c>
      <c r="B22" s="6">
        <v>0.9</v>
      </c>
      <c r="C22" s="6">
        <v>0.7</v>
      </c>
      <c r="D22" s="6">
        <v>0.5</v>
      </c>
    </row>
    <row r="23" spans="1:4" ht="15" customHeight="1" x14ac:dyDescent="0.3">
      <c r="A23" s="4" t="s">
        <v>43</v>
      </c>
      <c r="B23" s="11">
        <f>1-B22</f>
        <v>9.9999999999999978E-2</v>
      </c>
      <c r="C23" s="11">
        <f>1-C22</f>
        <v>0.30000000000000004</v>
      </c>
      <c r="D23" s="11">
        <f>1-D22</f>
        <v>0.5</v>
      </c>
    </row>
    <row r="24" spans="1:4" ht="15" customHeight="1" x14ac:dyDescent="0.3">
      <c r="A24" s="4" t="s">
        <v>44</v>
      </c>
      <c r="B24" s="10">
        <f>B22^3</f>
        <v>0.72900000000000009</v>
      </c>
      <c r="C24" s="10">
        <f>C22^3</f>
        <v>0.34299999999999992</v>
      </c>
      <c r="D24" s="10">
        <f>D22^3</f>
        <v>0.125</v>
      </c>
    </row>
    <row r="25" spans="1:4" ht="15" customHeight="1" x14ac:dyDescent="0.3">
      <c r="A25" s="4" t="s">
        <v>45</v>
      </c>
      <c r="B25" s="5">
        <v>350</v>
      </c>
      <c r="C25" s="5">
        <v>150</v>
      </c>
      <c r="D25" s="5">
        <v>220</v>
      </c>
    </row>
    <row r="26" spans="1:4" ht="15" customHeight="1" x14ac:dyDescent="0.3">
      <c r="A26" s="3" t="s">
        <v>46</v>
      </c>
    </row>
    <row r="28" spans="1:4" ht="18" customHeight="1" x14ac:dyDescent="0.3">
      <c r="A28" s="35" t="s">
        <v>47</v>
      </c>
      <c r="B28" s="35"/>
      <c r="C28" s="35"/>
      <c r="D28" s="35"/>
    </row>
    <row r="29" spans="1:4" ht="25.5" customHeight="1" x14ac:dyDescent="0.3">
      <c r="A29" s="7" t="s">
        <v>33</v>
      </c>
      <c r="B29" s="7" t="s">
        <v>48</v>
      </c>
      <c r="C29" s="7" t="s">
        <v>49</v>
      </c>
      <c r="D29" s="7" t="s">
        <v>50</v>
      </c>
    </row>
    <row r="30" spans="1:4" ht="15" customHeight="1" x14ac:dyDescent="0.3">
      <c r="A30" s="4" t="s">
        <v>51</v>
      </c>
      <c r="B30" s="5">
        <v>25</v>
      </c>
      <c r="C30" s="5">
        <v>40</v>
      </c>
      <c r="D30" s="5">
        <v>55</v>
      </c>
    </row>
    <row r="31" spans="1:4" ht="15" customHeight="1" x14ac:dyDescent="0.3">
      <c r="A31" s="4" t="s">
        <v>52</v>
      </c>
      <c r="B31" s="5">
        <v>30</v>
      </c>
      <c r="C31" s="5">
        <v>55</v>
      </c>
      <c r="D31" s="5">
        <v>85</v>
      </c>
    </row>
    <row r="33" spans="1:6" ht="18" customHeight="1" x14ac:dyDescent="0.3">
      <c r="A33" s="35" t="s">
        <v>175</v>
      </c>
      <c r="B33" s="35"/>
      <c r="C33" s="35"/>
      <c r="D33" s="35"/>
    </row>
    <row r="34" spans="1:6" ht="15" customHeight="1" x14ac:dyDescent="0.3">
      <c r="A34" s="4" t="s">
        <v>53</v>
      </c>
      <c r="B34" s="6">
        <v>0.04</v>
      </c>
    </row>
    <row r="35" spans="1:6" ht="15" customHeight="1" x14ac:dyDescent="0.3">
      <c r="A35" s="4" t="s">
        <v>54</v>
      </c>
      <c r="B35" s="6">
        <v>0.3</v>
      </c>
      <c r="F35" s="3" t="s">
        <v>55</v>
      </c>
    </row>
    <row r="36" spans="1:6" ht="15" customHeight="1" x14ac:dyDescent="0.3">
      <c r="A36" s="4" t="s">
        <v>56</v>
      </c>
      <c r="B36" s="10">
        <f>B34*B35</f>
        <v>1.2E-2</v>
      </c>
    </row>
    <row r="37" spans="1:6" ht="15" customHeight="1" x14ac:dyDescent="0.3">
      <c r="A37" s="4" t="s">
        <v>57</v>
      </c>
      <c r="B37" s="6">
        <v>0.12</v>
      </c>
      <c r="F37" s="3" t="s">
        <v>58</v>
      </c>
    </row>
  </sheetData>
  <mergeCells count="7">
    <mergeCell ref="A28:D28"/>
    <mergeCell ref="A33:D33"/>
    <mergeCell ref="A1:D1"/>
    <mergeCell ref="A2:D2"/>
    <mergeCell ref="A4:D4"/>
    <mergeCell ref="A9:D9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2A44"/>
  </sheetPr>
  <dimension ref="A1:S47"/>
  <sheetViews>
    <sheetView showGridLines="0" zoomScaleNormal="100" workbookViewId="0">
      <pane xSplit="1" ySplit="4" topLeftCell="B40" activePane="bottomRight" state="frozen"/>
      <selection pane="topRight" activeCell="B1" sqref="B1"/>
      <selection pane="bottomLeft" activeCell="A5" sqref="A5"/>
      <selection pane="bottomRight" activeCell="F47" sqref="F47"/>
    </sheetView>
  </sheetViews>
  <sheetFormatPr defaultColWidth="8.6640625" defaultRowHeight="14.4" x14ac:dyDescent="0.3"/>
  <cols>
    <col min="1" max="1" width="44.77734375" bestFit="1" customWidth="1"/>
    <col min="2" max="16" width="11" customWidth="1"/>
    <col min="18" max="18" width="20.21875" bestFit="1" customWidth="1"/>
  </cols>
  <sheetData>
    <row r="1" spans="1:19" ht="24" customHeight="1" x14ac:dyDescent="0.4">
      <c r="A1" s="33" t="s">
        <v>178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R1" s="2" t="s">
        <v>59</v>
      </c>
      <c r="S1" s="12">
        <f>(1+Assumptions!B10)^(1/12)-1</f>
        <v>1.0978851950173452E-2</v>
      </c>
    </row>
    <row r="2" spans="1:19" ht="15" customHeight="1" x14ac:dyDescent="0.3">
      <c r="A2" s="34" t="s">
        <v>60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9" x14ac:dyDescent="0.3">
      <c r="B3" s="39" t="s">
        <v>61</v>
      </c>
      <c r="C3" s="39"/>
      <c r="D3" s="39"/>
      <c r="E3" s="39"/>
      <c r="F3" s="39"/>
      <c r="G3" s="39" t="s">
        <v>62</v>
      </c>
      <c r="H3" s="39"/>
      <c r="I3" s="39"/>
      <c r="J3" s="39"/>
      <c r="K3" s="39"/>
      <c r="L3" s="39" t="s">
        <v>63</v>
      </c>
      <c r="M3" s="39"/>
      <c r="N3" s="39"/>
      <c r="O3" s="39"/>
      <c r="P3" s="39"/>
    </row>
    <row r="4" spans="1:19" ht="27.75" customHeight="1" x14ac:dyDescent="0.3">
      <c r="A4" s="13" t="s">
        <v>64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65</v>
      </c>
      <c r="H4" s="7" t="s">
        <v>66</v>
      </c>
      <c r="I4" s="7" t="s">
        <v>67</v>
      </c>
      <c r="J4" s="7" t="s">
        <v>68</v>
      </c>
      <c r="K4" s="7" t="s">
        <v>69</v>
      </c>
      <c r="L4" s="7" t="s">
        <v>65</v>
      </c>
      <c r="M4" s="7" t="s">
        <v>66</v>
      </c>
      <c r="N4" s="7" t="s">
        <v>67</v>
      </c>
      <c r="O4" s="7" t="s">
        <v>68</v>
      </c>
      <c r="P4" s="7" t="s">
        <v>69</v>
      </c>
    </row>
    <row r="5" spans="1:19" ht="15" customHeight="1" x14ac:dyDescent="0.3">
      <c r="A5" s="14">
        <v>0</v>
      </c>
      <c r="B5" s="10">
        <f>Assumptions!$B$22^A5</f>
        <v>1</v>
      </c>
      <c r="C5" s="15">
        <f>Assumptions!$B$17*Assumptions!$B$20*B5</f>
        <v>264</v>
      </c>
      <c r="D5" s="16">
        <f t="shared" ref="D5:D40" si="0">1/(1+$S$1)^A5</f>
        <v>1</v>
      </c>
      <c r="E5" s="15">
        <f t="shared" ref="E5:E40" si="1">C5*D5</f>
        <v>264</v>
      </c>
      <c r="F5" s="15">
        <f>E5</f>
        <v>264</v>
      </c>
      <c r="G5" s="10">
        <f>Assumptions!$C$22^A5</f>
        <v>1</v>
      </c>
      <c r="H5" s="15">
        <f>Assumptions!$C$17*Assumptions!$C$20*G5</f>
        <v>60</v>
      </c>
      <c r="I5" s="16">
        <f t="shared" ref="I5:I40" si="2">1/(1+$S$1)^A5</f>
        <v>1</v>
      </c>
      <c r="J5" s="15">
        <f t="shared" ref="J5:J40" si="3">H5*I5</f>
        <v>60</v>
      </c>
      <c r="K5" s="15">
        <f>J5</f>
        <v>60</v>
      </c>
      <c r="L5" s="10">
        <f>Assumptions!$D$22^A5</f>
        <v>1</v>
      </c>
      <c r="M5" s="15">
        <f>Assumptions!$D$17*Assumptions!$D$20*L5</f>
        <v>21.6</v>
      </c>
      <c r="N5" s="16">
        <f t="shared" ref="N5:N40" si="4">1/(1+$S$1)^A5</f>
        <v>1</v>
      </c>
      <c r="O5" s="15">
        <f t="shared" ref="O5:O40" si="5">M5*N5</f>
        <v>21.6</v>
      </c>
      <c r="P5" s="15">
        <f>O5</f>
        <v>21.6</v>
      </c>
    </row>
    <row r="6" spans="1:19" ht="15" customHeight="1" x14ac:dyDescent="0.3">
      <c r="A6" s="14">
        <v>1</v>
      </c>
      <c r="B6" s="10">
        <f>Assumptions!$B$22^A6</f>
        <v>0.9</v>
      </c>
      <c r="C6" s="15">
        <f>Assumptions!$B$17*Assumptions!$B$20*B6</f>
        <v>237.6</v>
      </c>
      <c r="D6" s="16">
        <f t="shared" si="0"/>
        <v>0.98914037427291845</v>
      </c>
      <c r="E6" s="15">
        <f t="shared" si="1"/>
        <v>235.01975292724541</v>
      </c>
      <c r="F6" s="15">
        <f t="shared" ref="F6:F40" si="6">F5+E6</f>
        <v>499.01975292724541</v>
      </c>
      <c r="G6" s="10">
        <f>Assumptions!$C$22^A6</f>
        <v>0.7</v>
      </c>
      <c r="H6" s="15">
        <f>Assumptions!$C$17*Assumptions!$C$20*G6</f>
        <v>42</v>
      </c>
      <c r="I6" s="16">
        <f t="shared" si="2"/>
        <v>0.98914037427291845</v>
      </c>
      <c r="J6" s="15">
        <f t="shared" si="3"/>
        <v>41.543895719462576</v>
      </c>
      <c r="K6" s="15">
        <f t="shared" ref="K6:K40" si="7">K5+J6</f>
        <v>101.54389571946257</v>
      </c>
      <c r="L6" s="10">
        <f>Assumptions!$D$22^A6</f>
        <v>0.5</v>
      </c>
      <c r="M6" s="15">
        <f>Assumptions!$D$17*Assumptions!$D$20*L6</f>
        <v>10.8</v>
      </c>
      <c r="N6" s="16">
        <f t="shared" si="4"/>
        <v>0.98914037427291845</v>
      </c>
      <c r="O6" s="15">
        <f t="shared" si="5"/>
        <v>10.68271604214752</v>
      </c>
      <c r="P6" s="15">
        <f t="shared" ref="P6:P40" si="8">P5+O6</f>
        <v>32.28271604214752</v>
      </c>
    </row>
    <row r="7" spans="1:19" ht="15" customHeight="1" x14ac:dyDescent="0.3">
      <c r="A7" s="14">
        <v>2</v>
      </c>
      <c r="B7" s="10">
        <f>Assumptions!$B$22^A7</f>
        <v>0.81</v>
      </c>
      <c r="C7" s="15">
        <f>Assumptions!$B$17*Assumptions!$B$20*B7</f>
        <v>213.84</v>
      </c>
      <c r="D7" s="16">
        <f t="shared" si="0"/>
        <v>0.97839868001676922</v>
      </c>
      <c r="E7" s="15">
        <f t="shared" si="1"/>
        <v>209.22077373478592</v>
      </c>
      <c r="F7" s="15">
        <f t="shared" si="6"/>
        <v>708.24052666203136</v>
      </c>
      <c r="G7" s="10">
        <f>Assumptions!$C$22^A7</f>
        <v>0.48999999999999994</v>
      </c>
      <c r="H7" s="15">
        <f>Assumptions!$C$17*Assumptions!$C$20*G7</f>
        <v>29.399999999999995</v>
      </c>
      <c r="I7" s="16">
        <f t="shared" si="2"/>
        <v>0.97839868001676922</v>
      </c>
      <c r="J7" s="15">
        <f t="shared" si="3"/>
        <v>28.764921192493009</v>
      </c>
      <c r="K7" s="15">
        <f t="shared" si="7"/>
        <v>130.30881691195557</v>
      </c>
      <c r="L7" s="10">
        <f>Assumptions!$D$22^A7</f>
        <v>0.25</v>
      </c>
      <c r="M7" s="15">
        <f>Assumptions!$D$17*Assumptions!$D$20*L7</f>
        <v>5.4</v>
      </c>
      <c r="N7" s="16">
        <f t="shared" si="4"/>
        <v>0.97839868001676922</v>
      </c>
      <c r="O7" s="15">
        <f t="shared" si="5"/>
        <v>5.2833528720905543</v>
      </c>
      <c r="P7" s="15">
        <f t="shared" si="8"/>
        <v>37.566068914238073</v>
      </c>
    </row>
    <row r="8" spans="1:19" ht="15" customHeight="1" x14ac:dyDescent="0.3">
      <c r="A8" s="14">
        <v>3</v>
      </c>
      <c r="B8" s="10">
        <f>Assumptions!$B$22^A8</f>
        <v>0.72900000000000009</v>
      </c>
      <c r="C8" s="15">
        <f>Assumptions!$B$17*Assumptions!$B$20*B8</f>
        <v>192.45600000000002</v>
      </c>
      <c r="D8" s="16">
        <f t="shared" si="0"/>
        <v>0.96777363653991655</v>
      </c>
      <c r="E8" s="15">
        <f t="shared" si="1"/>
        <v>186.25384299392618</v>
      </c>
      <c r="F8" s="15">
        <f t="shared" si="6"/>
        <v>894.4943696559576</v>
      </c>
      <c r="G8" s="10">
        <f>Assumptions!$C$22^A8</f>
        <v>0.34299999999999992</v>
      </c>
      <c r="H8" s="15">
        <f>Assumptions!$C$17*Assumptions!$C$20*G8</f>
        <v>20.579999999999995</v>
      </c>
      <c r="I8" s="16">
        <f t="shared" si="2"/>
        <v>0.96777363653991655</v>
      </c>
      <c r="J8" s="15">
        <f t="shared" si="3"/>
        <v>19.916781439991478</v>
      </c>
      <c r="K8" s="15">
        <f t="shared" si="7"/>
        <v>150.22559835194704</v>
      </c>
      <c r="L8" s="10">
        <f>Assumptions!$D$22^A8</f>
        <v>0.125</v>
      </c>
      <c r="M8" s="15">
        <f>Assumptions!$D$17*Assumptions!$D$20*L8</f>
        <v>2.7</v>
      </c>
      <c r="N8" s="16">
        <f t="shared" si="4"/>
        <v>0.96777363653991655</v>
      </c>
      <c r="O8" s="15">
        <f t="shared" si="5"/>
        <v>2.612988818657775</v>
      </c>
      <c r="P8" s="15">
        <f t="shared" si="8"/>
        <v>40.179057732895849</v>
      </c>
    </row>
    <row r="9" spans="1:19" ht="15" customHeight="1" x14ac:dyDescent="0.3">
      <c r="A9" s="14">
        <v>4</v>
      </c>
      <c r="B9" s="10">
        <f>Assumptions!$B$22^A9</f>
        <v>0.65610000000000013</v>
      </c>
      <c r="C9" s="15">
        <f>Assumptions!$B$17*Assumptions!$B$20*B9</f>
        <v>173.21040000000002</v>
      </c>
      <c r="D9" s="16">
        <f t="shared" si="0"/>
        <v>0.95726397705855626</v>
      </c>
      <c r="E9" s="15">
        <f t="shared" si="1"/>
        <v>165.80807637190338</v>
      </c>
      <c r="F9" s="15">
        <f t="shared" si="6"/>
        <v>1060.3024460278609</v>
      </c>
      <c r="G9" s="10">
        <f>Assumptions!$C$22^A9</f>
        <v>0.24009999999999992</v>
      </c>
      <c r="H9" s="15">
        <f>Assumptions!$C$17*Assumptions!$C$20*G9</f>
        <v>14.405999999999995</v>
      </c>
      <c r="I9" s="16">
        <f t="shared" si="2"/>
        <v>0.95726397705855626</v>
      </c>
      <c r="J9" s="15">
        <f t="shared" si="3"/>
        <v>13.790344853505557</v>
      </c>
      <c r="K9" s="15">
        <f t="shared" si="7"/>
        <v>164.0159432054526</v>
      </c>
      <c r="L9" s="10">
        <f>Assumptions!$D$22^A9</f>
        <v>6.25E-2</v>
      </c>
      <c r="M9" s="15">
        <f>Assumptions!$D$17*Assumptions!$D$20*L9</f>
        <v>1.35</v>
      </c>
      <c r="N9" s="16">
        <f t="shared" si="4"/>
        <v>0.95726397705855626</v>
      </c>
      <c r="O9" s="15">
        <f t="shared" si="5"/>
        <v>1.292306369029051</v>
      </c>
      <c r="P9" s="15">
        <f t="shared" si="8"/>
        <v>41.471364101924898</v>
      </c>
    </row>
    <row r="10" spans="1:19" ht="15" customHeight="1" x14ac:dyDescent="0.3">
      <c r="A10" s="14">
        <v>5</v>
      </c>
      <c r="B10" s="10">
        <f>Assumptions!$B$22^A10</f>
        <v>0.59049000000000018</v>
      </c>
      <c r="C10" s="15">
        <f>Assumptions!$B$17*Assumptions!$B$20*B10</f>
        <v>155.88936000000004</v>
      </c>
      <c r="D10" s="16">
        <f t="shared" si="0"/>
        <v>0.94686844854568286</v>
      </c>
      <c r="E10" s="15">
        <f t="shared" si="1"/>
        <v>147.60671644797947</v>
      </c>
      <c r="F10" s="15">
        <f t="shared" si="6"/>
        <v>1207.9091624758403</v>
      </c>
      <c r="G10" s="10">
        <f>Assumptions!$C$22^A10</f>
        <v>0.16806999999999994</v>
      </c>
      <c r="H10" s="15">
        <f>Assumptions!$C$17*Assumptions!$C$20*G10</f>
        <v>10.084199999999996</v>
      </c>
      <c r="I10" s="16">
        <f t="shared" si="2"/>
        <v>0.94686844854568286</v>
      </c>
      <c r="J10" s="15">
        <f t="shared" si="3"/>
        <v>9.5484108088243715</v>
      </c>
      <c r="K10" s="15">
        <f t="shared" si="7"/>
        <v>173.56435401427697</v>
      </c>
      <c r="L10" s="10">
        <f>Assumptions!$D$22^A10</f>
        <v>3.125E-2</v>
      </c>
      <c r="M10" s="15">
        <f>Assumptions!$D$17*Assumptions!$D$20*L10</f>
        <v>0.67500000000000004</v>
      </c>
      <c r="N10" s="16">
        <f t="shared" si="4"/>
        <v>0.94686844854568286</v>
      </c>
      <c r="O10" s="15">
        <f t="shared" si="5"/>
        <v>0.63913620276833594</v>
      </c>
      <c r="P10" s="15">
        <f t="shared" si="8"/>
        <v>42.110500304693232</v>
      </c>
    </row>
    <row r="11" spans="1:19" ht="15" customHeight="1" x14ac:dyDescent="0.3">
      <c r="A11" s="14">
        <v>6</v>
      </c>
      <c r="B11" s="10">
        <f>Assumptions!$B$22^A11</f>
        <v>0.53144100000000016</v>
      </c>
      <c r="C11" s="15">
        <f>Assumptions!$B$17*Assumptions!$B$20*B11</f>
        <v>140.30042400000005</v>
      </c>
      <c r="D11" s="16">
        <f t="shared" si="0"/>
        <v>0.93658581158169441</v>
      </c>
      <c r="E11" s="15">
        <f t="shared" si="1"/>
        <v>131.40338647729587</v>
      </c>
      <c r="F11" s="15">
        <f t="shared" si="6"/>
        <v>1339.3125489531362</v>
      </c>
      <c r="G11" s="10">
        <f>Assumptions!$C$22^A11</f>
        <v>0.11764899999999995</v>
      </c>
      <c r="H11" s="15">
        <f>Assumptions!$C$17*Assumptions!$C$20*G11</f>
        <v>7.0589399999999971</v>
      </c>
      <c r="I11" s="16">
        <f t="shared" si="2"/>
        <v>0.93658581158169441</v>
      </c>
      <c r="J11" s="15">
        <f t="shared" si="3"/>
        <v>6.6113030488064828</v>
      </c>
      <c r="K11" s="15">
        <f t="shared" si="7"/>
        <v>180.17565706308346</v>
      </c>
      <c r="L11" s="10">
        <f>Assumptions!$D$22^A11</f>
        <v>1.5625E-2</v>
      </c>
      <c r="M11" s="15">
        <f>Assumptions!$D$17*Assumptions!$D$20*L11</f>
        <v>0.33750000000000002</v>
      </c>
      <c r="N11" s="16">
        <f t="shared" si="4"/>
        <v>0.93658581158169441</v>
      </c>
      <c r="O11" s="15">
        <f t="shared" si="5"/>
        <v>0.31609771140882187</v>
      </c>
      <c r="P11" s="15">
        <f t="shared" si="8"/>
        <v>42.426598016102055</v>
      </c>
    </row>
    <row r="12" spans="1:19" ht="15" customHeight="1" x14ac:dyDescent="0.3">
      <c r="A12" s="14">
        <v>7</v>
      </c>
      <c r="B12" s="10">
        <f>Assumptions!$B$22^A12</f>
        <v>0.47829690000000014</v>
      </c>
      <c r="C12" s="15">
        <f>Assumptions!$B$17*Assumptions!$B$20*B12</f>
        <v>126.27038160000004</v>
      </c>
      <c r="D12" s="16">
        <f t="shared" si="0"/>
        <v>0.92641484020662224</v>
      </c>
      <c r="E12" s="15">
        <f t="shared" si="1"/>
        <v>116.97875539279325</v>
      </c>
      <c r="F12" s="15">
        <f t="shared" si="6"/>
        <v>1456.2913043459296</v>
      </c>
      <c r="G12" s="10">
        <f>Assumptions!$C$22^A12</f>
        <v>8.235429999999995E-2</v>
      </c>
      <c r="H12" s="15">
        <f>Assumptions!$C$17*Assumptions!$C$20*G12</f>
        <v>4.9412579999999968</v>
      </c>
      <c r="I12" s="16">
        <f t="shared" si="2"/>
        <v>0.92641484020662224</v>
      </c>
      <c r="J12" s="15">
        <f t="shared" si="3"/>
        <v>4.5776547404896908</v>
      </c>
      <c r="K12" s="15">
        <f t="shared" si="7"/>
        <v>184.75331180357315</v>
      </c>
      <c r="L12" s="10">
        <f>Assumptions!$D$22^A12</f>
        <v>7.8125E-3</v>
      </c>
      <c r="M12" s="15">
        <f>Assumptions!$D$17*Assumptions!$D$20*L12</f>
        <v>0.16875000000000001</v>
      </c>
      <c r="N12" s="16">
        <f t="shared" si="4"/>
        <v>0.92641484020662224</v>
      </c>
      <c r="O12" s="15">
        <f t="shared" si="5"/>
        <v>0.1563325042848675</v>
      </c>
      <c r="P12" s="15">
        <f t="shared" si="8"/>
        <v>42.582930520386924</v>
      </c>
    </row>
    <row r="13" spans="1:19" ht="15" customHeight="1" x14ac:dyDescent="0.3">
      <c r="A13" s="14">
        <v>8</v>
      </c>
      <c r="B13" s="10">
        <f>Assumptions!$B$22^A13</f>
        <v>0.43046721000000016</v>
      </c>
      <c r="C13" s="15">
        <f>Assumptions!$B$17*Assumptions!$B$20*B13</f>
        <v>113.64334344000004</v>
      </c>
      <c r="D13" s="16">
        <f t="shared" si="0"/>
        <v>0.91635432177396425</v>
      </c>
      <c r="E13" s="15">
        <f t="shared" si="1"/>
        <v>104.13756890208693</v>
      </c>
      <c r="F13" s="15">
        <f t="shared" si="6"/>
        <v>1560.4288732480165</v>
      </c>
      <c r="G13" s="10">
        <f>Assumptions!$C$22^A13</f>
        <v>5.7648009999999965E-2</v>
      </c>
      <c r="H13" s="15">
        <f>Assumptions!$C$17*Assumptions!$C$20*G13</f>
        <v>3.4588805999999979</v>
      </c>
      <c r="I13" s="16">
        <f t="shared" si="2"/>
        <v>0.91635432177396425</v>
      </c>
      <c r="J13" s="15">
        <f t="shared" si="3"/>
        <v>3.1695601863101204</v>
      </c>
      <c r="K13" s="15">
        <f t="shared" si="7"/>
        <v>187.92287198988328</v>
      </c>
      <c r="L13" s="10">
        <f>Assumptions!$D$22^A13</f>
        <v>3.90625E-3</v>
      </c>
      <c r="M13" s="15">
        <f>Assumptions!$D$17*Assumptions!$D$20*L13</f>
        <v>8.4375000000000006E-2</v>
      </c>
      <c r="N13" s="16">
        <f t="shared" si="4"/>
        <v>0.91635432177396425</v>
      </c>
      <c r="O13" s="15">
        <f t="shared" si="5"/>
        <v>7.7317395899678246E-2</v>
      </c>
      <c r="P13" s="15">
        <f t="shared" si="8"/>
        <v>42.6602479162866</v>
      </c>
    </row>
    <row r="14" spans="1:19" ht="15" customHeight="1" x14ac:dyDescent="0.3">
      <c r="A14" s="14">
        <v>9</v>
      </c>
      <c r="B14" s="10">
        <f>Assumptions!$B$22^A14</f>
        <v>0.38742048900000015</v>
      </c>
      <c r="C14" s="15">
        <f>Assumptions!$B$17*Assumptions!$B$20*B14</f>
        <v>102.27900909600004</v>
      </c>
      <c r="D14" s="16">
        <f t="shared" si="0"/>
        <v>0.90640305680610544</v>
      </c>
      <c r="E14" s="15">
        <f t="shared" si="1"/>
        <v>92.706006491713893</v>
      </c>
      <c r="F14" s="15">
        <f t="shared" si="6"/>
        <v>1653.1348797397304</v>
      </c>
      <c r="G14" s="10">
        <f>Assumptions!$C$22^A14</f>
        <v>4.0353606999999972E-2</v>
      </c>
      <c r="H14" s="15">
        <f>Assumptions!$C$17*Assumptions!$C$20*G14</f>
        <v>2.4212164199999981</v>
      </c>
      <c r="I14" s="16">
        <f t="shared" si="2"/>
        <v>0.90640305680610544</v>
      </c>
      <c r="J14" s="15">
        <f t="shared" si="3"/>
        <v>2.1945979642771336</v>
      </c>
      <c r="K14" s="15">
        <f t="shared" si="7"/>
        <v>190.11746995416041</v>
      </c>
      <c r="L14" s="10">
        <f>Assumptions!$D$22^A14</f>
        <v>1.953125E-3</v>
      </c>
      <c r="M14" s="15">
        <f>Assumptions!$D$17*Assumptions!$D$20*L14</f>
        <v>4.2187500000000003E-2</v>
      </c>
      <c r="N14" s="16">
        <f t="shared" si="4"/>
        <v>0.90640305680610544</v>
      </c>
      <c r="O14" s="15">
        <f t="shared" si="5"/>
        <v>3.8238878959007579E-2</v>
      </c>
      <c r="P14" s="15">
        <f t="shared" si="8"/>
        <v>42.698486795245607</v>
      </c>
    </row>
    <row r="15" spans="1:19" ht="15" customHeight="1" x14ac:dyDescent="0.3">
      <c r="A15" s="14">
        <v>10</v>
      </c>
      <c r="B15" s="10">
        <f>Assumptions!$B$22^A15</f>
        <v>0.34867844010000015</v>
      </c>
      <c r="C15" s="15">
        <f>Assumptions!$B$17*Assumptions!$B$20*B15</f>
        <v>92.051108186400043</v>
      </c>
      <c r="D15" s="16">
        <f t="shared" si="0"/>
        <v>0.8965598588513084</v>
      </c>
      <c r="E15" s="15">
        <f t="shared" si="1"/>
        <v>82.529328562705345</v>
      </c>
      <c r="F15" s="15">
        <f t="shared" si="6"/>
        <v>1735.6642083024358</v>
      </c>
      <c r="G15" s="10">
        <f>Assumptions!$C$22^A15</f>
        <v>2.824752489999998E-2</v>
      </c>
      <c r="H15" s="15">
        <f>Assumptions!$C$17*Assumptions!$C$20*G15</f>
        <v>1.6948514939999988</v>
      </c>
      <c r="I15" s="16">
        <f t="shared" si="2"/>
        <v>0.8965598588513084</v>
      </c>
      <c r="J15" s="15">
        <f t="shared" si="3"/>
        <v>1.519535816234568</v>
      </c>
      <c r="K15" s="15">
        <f t="shared" si="7"/>
        <v>191.63700577039498</v>
      </c>
      <c r="L15" s="10">
        <f>Assumptions!$D$22^A15</f>
        <v>9.765625E-4</v>
      </c>
      <c r="M15" s="15">
        <f>Assumptions!$D$17*Assumptions!$D$20*L15</f>
        <v>2.1093750000000001E-2</v>
      </c>
      <c r="N15" s="16">
        <f t="shared" si="4"/>
        <v>0.8965598588513084</v>
      </c>
      <c r="O15" s="15">
        <f t="shared" si="5"/>
        <v>1.8911809522644787E-2</v>
      </c>
      <c r="P15" s="15">
        <f t="shared" si="8"/>
        <v>42.717398604768249</v>
      </c>
    </row>
    <row r="16" spans="1:19" ht="15" customHeight="1" x14ac:dyDescent="0.3">
      <c r="A16" s="14">
        <v>11</v>
      </c>
      <c r="B16" s="10">
        <f>Assumptions!$B$22^A16</f>
        <v>0.31381059609000017</v>
      </c>
      <c r="C16" s="15">
        <f>Assumptions!$B$17*Assumptions!$B$20*B16</f>
        <v>82.845997367760049</v>
      </c>
      <c r="D16" s="16">
        <f t="shared" si="0"/>
        <v>0.88682355434225824</v>
      </c>
      <c r="E16" s="15">
        <f t="shared" si="1"/>
        <v>73.469781848706333</v>
      </c>
      <c r="F16" s="15">
        <f t="shared" si="6"/>
        <v>1809.1339901511421</v>
      </c>
      <c r="G16" s="10">
        <f>Assumptions!$C$22^A16</f>
        <v>1.9773267429999984E-2</v>
      </c>
      <c r="H16" s="15">
        <f>Assumptions!$C$17*Assumptions!$C$20*G16</f>
        <v>1.1863960457999991</v>
      </c>
      <c r="I16" s="16">
        <f t="shared" si="2"/>
        <v>0.88682355434225824</v>
      </c>
      <c r="J16" s="15">
        <f t="shared" si="3"/>
        <v>1.0521239581939559</v>
      </c>
      <c r="K16" s="15">
        <f t="shared" si="7"/>
        <v>192.68912972858894</v>
      </c>
      <c r="L16" s="10">
        <f>Assumptions!$D$22^A16</f>
        <v>4.8828125E-4</v>
      </c>
      <c r="M16" s="15">
        <f>Assumptions!$D$17*Assumptions!$D$20*L16</f>
        <v>1.0546875000000001E-2</v>
      </c>
      <c r="N16" s="16">
        <f t="shared" si="4"/>
        <v>0.88682355434225824</v>
      </c>
      <c r="O16" s="15">
        <f t="shared" si="5"/>
        <v>9.3532171747035056E-3</v>
      </c>
      <c r="P16" s="15">
        <f t="shared" si="8"/>
        <v>42.726751821942955</v>
      </c>
    </row>
    <row r="17" spans="1:16" ht="15" customHeight="1" x14ac:dyDescent="0.3">
      <c r="A17" s="14">
        <v>12</v>
      </c>
      <c r="B17" s="10">
        <f>Assumptions!$B$22^A17</f>
        <v>0.28242953648100017</v>
      </c>
      <c r="C17" s="15">
        <f>Assumptions!$B$17*Assumptions!$B$20*B17</f>
        <v>74.561397630984047</v>
      </c>
      <c r="D17" s="16">
        <f t="shared" si="0"/>
        <v>0.87719298245614108</v>
      </c>
      <c r="E17" s="15">
        <f t="shared" si="1"/>
        <v>65.404734764021143</v>
      </c>
      <c r="F17" s="15">
        <f t="shared" si="6"/>
        <v>1874.5387249151634</v>
      </c>
      <c r="G17" s="10">
        <f>Assumptions!$C$22^A17</f>
        <v>1.3841287200999986E-2</v>
      </c>
      <c r="H17" s="15">
        <f>Assumptions!$C$17*Assumptions!$C$20*G17</f>
        <v>0.83047723205999924</v>
      </c>
      <c r="I17" s="16">
        <f t="shared" si="2"/>
        <v>0.87719298245614108</v>
      </c>
      <c r="J17" s="15">
        <f t="shared" si="3"/>
        <v>0.7284888000526315</v>
      </c>
      <c r="K17" s="15">
        <f t="shared" si="7"/>
        <v>193.41761852864158</v>
      </c>
      <c r="L17" s="10">
        <f>Assumptions!$D$22^A17</f>
        <v>2.44140625E-4</v>
      </c>
      <c r="M17" s="15">
        <f>Assumptions!$D$17*Assumptions!$D$20*L17</f>
        <v>5.2734375000000003E-3</v>
      </c>
      <c r="N17" s="16">
        <f t="shared" si="4"/>
        <v>0.87719298245614108</v>
      </c>
      <c r="O17" s="15">
        <f t="shared" si="5"/>
        <v>4.6258223684210566E-3</v>
      </c>
      <c r="P17" s="15">
        <f t="shared" si="8"/>
        <v>42.731377644311372</v>
      </c>
    </row>
    <row r="18" spans="1:16" ht="15" customHeight="1" x14ac:dyDescent="0.3">
      <c r="A18" s="14">
        <v>13</v>
      </c>
      <c r="B18" s="10">
        <f>Assumptions!$B$22^A18</f>
        <v>0.25418658283290019</v>
      </c>
      <c r="C18" s="15">
        <f>Assumptions!$B$17*Assumptions!$B$20*B18</f>
        <v>67.105257867885655</v>
      </c>
      <c r="D18" s="16">
        <f t="shared" si="0"/>
        <v>0.867666994976245</v>
      </c>
      <c r="E18" s="15">
        <f t="shared" si="1"/>
        <v>58.225017441334366</v>
      </c>
      <c r="F18" s="15">
        <f t="shared" si="6"/>
        <v>1932.7637423564977</v>
      </c>
      <c r="G18" s="10">
        <f>Assumptions!$C$22^A18</f>
        <v>9.68890104069999E-3</v>
      </c>
      <c r="H18" s="15">
        <f>Assumptions!$C$17*Assumptions!$C$20*G18</f>
        <v>0.58133406244199937</v>
      </c>
      <c r="I18" s="16">
        <f t="shared" si="2"/>
        <v>0.867666994976245</v>
      </c>
      <c r="J18" s="15">
        <f t="shared" si="3"/>
        <v>0.50440437903638236</v>
      </c>
      <c r="K18" s="15">
        <f t="shared" si="7"/>
        <v>193.92202290767796</v>
      </c>
      <c r="L18" s="10">
        <f>Assumptions!$D$22^A18</f>
        <v>1.220703125E-4</v>
      </c>
      <c r="M18" s="15">
        <f>Assumptions!$D$17*Assumptions!$D$20*L18</f>
        <v>2.6367187500000002E-3</v>
      </c>
      <c r="N18" s="16">
        <f t="shared" si="4"/>
        <v>0.867666994976245</v>
      </c>
      <c r="O18" s="15">
        <f t="shared" si="5"/>
        <v>2.2877938344100213E-3</v>
      </c>
      <c r="P18" s="15">
        <f t="shared" si="8"/>
        <v>42.733665438145785</v>
      </c>
    </row>
    <row r="19" spans="1:16" ht="15" customHeight="1" x14ac:dyDescent="0.3">
      <c r="A19" s="14">
        <v>14</v>
      </c>
      <c r="B19" s="10">
        <f>Assumptions!$B$22^A19</f>
        <v>0.22876792454961015</v>
      </c>
      <c r="C19" s="15">
        <f>Assumptions!$B$17*Assumptions!$B$20*B19</f>
        <v>60.394732081097075</v>
      </c>
      <c r="D19" s="16">
        <f t="shared" si="0"/>
        <v>0.85824445615506151</v>
      </c>
      <c r="E19" s="15">
        <f t="shared" si="1"/>
        <v>51.833443989571805</v>
      </c>
      <c r="F19" s="15">
        <f t="shared" si="6"/>
        <v>1984.5971863460695</v>
      </c>
      <c r="G19" s="10">
        <f>Assumptions!$C$22^A19</f>
        <v>6.7822307284899925E-3</v>
      </c>
      <c r="H19" s="15">
        <f>Assumptions!$C$17*Assumptions!$C$20*G19</f>
        <v>0.40693384370939956</v>
      </c>
      <c r="I19" s="16">
        <f t="shared" si="2"/>
        <v>0.85824445615506151</v>
      </c>
      <c r="J19" s="15">
        <f t="shared" si="3"/>
        <v>0.34924871538546243</v>
      </c>
      <c r="K19" s="15">
        <f t="shared" si="7"/>
        <v>194.27127162306343</v>
      </c>
      <c r="L19" s="10">
        <f>Assumptions!$D$22^A19</f>
        <v>6.103515625E-5</v>
      </c>
      <c r="M19" s="15">
        <f>Assumptions!$D$17*Assumptions!$D$20*L19</f>
        <v>1.3183593750000001E-3</v>
      </c>
      <c r="N19" s="16">
        <f t="shared" si="4"/>
        <v>0.85824445615506151</v>
      </c>
      <c r="O19" s="15">
        <f t="shared" si="5"/>
        <v>1.1314746248138018E-3</v>
      </c>
      <c r="P19" s="15">
        <f t="shared" si="8"/>
        <v>42.734796912770598</v>
      </c>
    </row>
    <row r="20" spans="1:16" ht="15" customHeight="1" x14ac:dyDescent="0.3">
      <c r="A20" s="14">
        <v>15</v>
      </c>
      <c r="B20" s="10">
        <f>Assumptions!$B$22^A20</f>
        <v>0.20589113209464913</v>
      </c>
      <c r="C20" s="15">
        <f>Assumptions!$B$17*Assumptions!$B$20*B20</f>
        <v>54.35525887298737</v>
      </c>
      <c r="D20" s="16">
        <f t="shared" si="0"/>
        <v>0.84892424257887489</v>
      </c>
      <c r="E20" s="15">
        <f t="shared" si="1"/>
        <v>46.143496968929469</v>
      </c>
      <c r="F20" s="15">
        <f t="shared" si="6"/>
        <v>2030.7406833149989</v>
      </c>
      <c r="G20" s="10">
        <f>Assumptions!$C$22^A20</f>
        <v>4.747561509942994E-3</v>
      </c>
      <c r="H20" s="15">
        <f>Assumptions!$C$17*Assumptions!$C$20*G20</f>
        <v>0.28485369059657967</v>
      </c>
      <c r="I20" s="16">
        <f t="shared" si="2"/>
        <v>0.84892424257887489</v>
      </c>
      <c r="J20" s="15">
        <f t="shared" si="3"/>
        <v>0.24181920353549857</v>
      </c>
      <c r="K20" s="15">
        <f t="shared" si="7"/>
        <v>194.51309082659893</v>
      </c>
      <c r="L20" s="10">
        <f>Assumptions!$D$22^A20</f>
        <v>3.0517578125E-5</v>
      </c>
      <c r="M20" s="15">
        <f>Assumptions!$D$17*Assumptions!$D$20*L20</f>
        <v>6.5917968750000004E-4</v>
      </c>
      <c r="N20" s="16">
        <f t="shared" si="4"/>
        <v>0.84892424257887489</v>
      </c>
      <c r="O20" s="15">
        <f t="shared" si="5"/>
        <v>5.5959361693431694E-4</v>
      </c>
      <c r="P20" s="15">
        <f t="shared" si="8"/>
        <v>42.735356506387532</v>
      </c>
    </row>
    <row r="21" spans="1:16" ht="15" customHeight="1" x14ac:dyDescent="0.3">
      <c r="A21" s="14">
        <v>16</v>
      </c>
      <c r="B21" s="10">
        <f>Assumptions!$B$22^A21</f>
        <v>0.18530201888518424</v>
      </c>
      <c r="C21" s="15">
        <f>Assumptions!$B$17*Assumptions!$B$20*B21</f>
        <v>48.91973298568864</v>
      </c>
      <c r="D21" s="16">
        <f t="shared" si="0"/>
        <v>0.8397052430338221</v>
      </c>
      <c r="E21" s="15">
        <f t="shared" si="1"/>
        <v>41.078156275897364</v>
      </c>
      <c r="F21" s="15">
        <f t="shared" si="6"/>
        <v>2071.8188395908965</v>
      </c>
      <c r="G21" s="10">
        <f>Assumptions!$C$22^A21</f>
        <v>3.3232930569600961E-3</v>
      </c>
      <c r="H21" s="15">
        <f>Assumptions!$C$17*Assumptions!$C$20*G21</f>
        <v>0.19939758341760577</v>
      </c>
      <c r="I21" s="16">
        <f t="shared" si="2"/>
        <v>0.8397052430338221</v>
      </c>
      <c r="J21" s="15">
        <f t="shared" si="3"/>
        <v>0.16743519624403747</v>
      </c>
      <c r="K21" s="15">
        <f t="shared" si="7"/>
        <v>194.68052602284297</v>
      </c>
      <c r="L21" s="10">
        <f>Assumptions!$D$22^A21</f>
        <v>1.52587890625E-5</v>
      </c>
      <c r="M21" s="15">
        <f>Assumptions!$D$17*Assumptions!$D$20*L21</f>
        <v>3.2958984375000002E-4</v>
      </c>
      <c r="N21" s="16">
        <f t="shared" si="4"/>
        <v>0.8397052430338221</v>
      </c>
      <c r="O21" s="15">
        <f t="shared" si="5"/>
        <v>2.7675831984757323E-4</v>
      </c>
      <c r="P21" s="15">
        <f t="shared" si="8"/>
        <v>42.735633264707381</v>
      </c>
    </row>
    <row r="22" spans="1:16" ht="15" customHeight="1" x14ac:dyDescent="0.3">
      <c r="A22" s="14">
        <v>17</v>
      </c>
      <c r="B22" s="10">
        <f>Assumptions!$B$22^A22</f>
        <v>0.16677181699666582</v>
      </c>
      <c r="C22" s="15">
        <f>Assumptions!$B$17*Assumptions!$B$20*B22</f>
        <v>44.027759687119776</v>
      </c>
      <c r="D22" s="16">
        <f t="shared" si="0"/>
        <v>0.83058635837340689</v>
      </c>
      <c r="E22" s="15">
        <f t="shared" si="1"/>
        <v>36.568856585864303</v>
      </c>
      <c r="F22" s="15">
        <f t="shared" si="6"/>
        <v>2108.387696176761</v>
      </c>
      <c r="G22" s="10">
        <f>Assumptions!$C$22^A22</f>
        <v>2.3263051398720669E-3</v>
      </c>
      <c r="H22" s="15">
        <f>Assumptions!$C$17*Assumptions!$C$20*G22</f>
        <v>0.13957830839232402</v>
      </c>
      <c r="I22" s="16">
        <f t="shared" si="2"/>
        <v>0.83058635837340689</v>
      </c>
      <c r="J22" s="15">
        <f t="shared" si="3"/>
        <v>0.11593183887550074</v>
      </c>
      <c r="K22" s="15">
        <f t="shared" si="7"/>
        <v>194.79645786171847</v>
      </c>
      <c r="L22" s="10">
        <f>Assumptions!$D$22^A22</f>
        <v>7.62939453125E-6</v>
      </c>
      <c r="M22" s="15">
        <f>Assumptions!$D$17*Assumptions!$D$20*L22</f>
        <v>1.6479492187500001E-4</v>
      </c>
      <c r="N22" s="16">
        <f t="shared" si="4"/>
        <v>0.83058635837340689</v>
      </c>
      <c r="O22" s="15">
        <f t="shared" si="5"/>
        <v>1.3687641403858634E-4</v>
      </c>
      <c r="P22" s="15">
        <f t="shared" si="8"/>
        <v>42.735770141121421</v>
      </c>
    </row>
    <row r="23" spans="1:16" ht="15" customHeight="1" x14ac:dyDescent="0.3">
      <c r="A23" s="14">
        <v>18</v>
      </c>
      <c r="B23" s="10">
        <f>Assumptions!$B$22^A23</f>
        <v>0.15009463529699923</v>
      </c>
      <c r="C23" s="15">
        <f>Assumptions!$B$17*Assumptions!$B$20*B23</f>
        <v>39.624983718407798</v>
      </c>
      <c r="D23" s="16">
        <f t="shared" si="0"/>
        <v>0.82156650138745202</v>
      </c>
      <c r="E23" s="15">
        <f t="shared" si="1"/>
        <v>32.554559241067047</v>
      </c>
      <c r="F23" s="15">
        <f t="shared" si="6"/>
        <v>2140.9422554178282</v>
      </c>
      <c r="G23" s="10">
        <f>Assumptions!$C$22^A23</f>
        <v>1.6284135979104468E-3</v>
      </c>
      <c r="H23" s="15">
        <f>Assumptions!$C$17*Assumptions!$C$20*G23</f>
        <v>9.7704815874626816E-2</v>
      </c>
      <c r="I23" s="16">
        <f t="shared" si="2"/>
        <v>0.82156650138745202</v>
      </c>
      <c r="J23" s="15">
        <f t="shared" si="3"/>
        <v>8.0271003746822334E-2</v>
      </c>
      <c r="K23" s="15">
        <f t="shared" si="7"/>
        <v>194.87672886546528</v>
      </c>
      <c r="L23" s="10">
        <f>Assumptions!$D$22^A23</f>
        <v>3.814697265625E-6</v>
      </c>
      <c r="M23" s="15">
        <f>Assumptions!$D$17*Assumptions!$D$20*L23</f>
        <v>8.2397460937500005E-5</v>
      </c>
      <c r="N23" s="16">
        <f t="shared" si="4"/>
        <v>0.82156650138745202</v>
      </c>
      <c r="O23" s="15">
        <f t="shared" si="5"/>
        <v>6.7694993705631119E-5</v>
      </c>
      <c r="P23" s="15">
        <f t="shared" si="8"/>
        <v>42.735837836115124</v>
      </c>
    </row>
    <row r="24" spans="1:16" ht="15" customHeight="1" x14ac:dyDescent="0.3">
      <c r="A24" s="14">
        <v>19</v>
      </c>
      <c r="B24" s="10">
        <f>Assumptions!$B$22^A24</f>
        <v>0.13508517176729934</v>
      </c>
      <c r="C24" s="15">
        <f>Assumptions!$B$17*Assumptions!$B$20*B24</f>
        <v>35.662485346567024</v>
      </c>
      <c r="D24" s="16">
        <f t="shared" si="0"/>
        <v>0.81264459667247646</v>
      </c>
      <c r="E24" s="15">
        <f t="shared" si="1"/>
        <v>28.98092602079906</v>
      </c>
      <c r="F24" s="15">
        <f t="shared" si="6"/>
        <v>2169.9231814386271</v>
      </c>
      <c r="G24" s="10">
        <f>Assumptions!$C$22^A24</f>
        <v>1.1398895185373127E-3</v>
      </c>
      <c r="H24" s="15">
        <f>Assumptions!$C$17*Assumptions!$C$20*G24</f>
        <v>6.8393371112238768E-2</v>
      </c>
      <c r="I24" s="16">
        <f t="shared" si="2"/>
        <v>0.81264459667247646</v>
      </c>
      <c r="J24" s="15">
        <f t="shared" si="3"/>
        <v>5.557950348257628E-2</v>
      </c>
      <c r="K24" s="15">
        <f t="shared" si="7"/>
        <v>194.93230836894784</v>
      </c>
      <c r="L24" s="10">
        <f>Assumptions!$D$22^A24</f>
        <v>1.9073486328125E-6</v>
      </c>
      <c r="M24" s="15">
        <f>Assumptions!$D$17*Assumptions!$D$20*L24</f>
        <v>4.1198730468750003E-5</v>
      </c>
      <c r="N24" s="16">
        <f t="shared" si="4"/>
        <v>0.81264459667247646</v>
      </c>
      <c r="O24" s="15">
        <f t="shared" si="5"/>
        <v>3.3479925705195416E-5</v>
      </c>
      <c r="P24" s="15">
        <f t="shared" si="8"/>
        <v>42.735871316040829</v>
      </c>
    </row>
    <row r="25" spans="1:16" ht="15" customHeight="1" x14ac:dyDescent="0.3">
      <c r="A25" s="14">
        <v>20</v>
      </c>
      <c r="B25" s="10">
        <f>Assumptions!$B$22^A25</f>
        <v>0.12157665459056941</v>
      </c>
      <c r="C25" s="15">
        <f>Assumptions!$B$17*Assumptions!$B$20*B25</f>
        <v>32.096236811910323</v>
      </c>
      <c r="D25" s="16">
        <f t="shared" si="0"/>
        <v>0.80381958050347813</v>
      </c>
      <c r="E25" s="15">
        <f t="shared" si="1"/>
        <v>25.79958360989005</v>
      </c>
      <c r="F25" s="15">
        <f t="shared" si="6"/>
        <v>2195.722765048517</v>
      </c>
      <c r="G25" s="10">
        <f>Assumptions!$C$22^A25</f>
        <v>7.9792266297611884E-4</v>
      </c>
      <c r="H25" s="15">
        <f>Assumptions!$C$17*Assumptions!$C$20*G25</f>
        <v>4.7875359778567134E-2</v>
      </c>
      <c r="I25" s="16">
        <f t="shared" si="2"/>
        <v>0.80381958050347813</v>
      </c>
      <c r="J25" s="15">
        <f t="shared" si="3"/>
        <v>3.8483151613660921E-2</v>
      </c>
      <c r="K25" s="15">
        <f t="shared" si="7"/>
        <v>194.97079152056151</v>
      </c>
      <c r="L25" s="10">
        <f>Assumptions!$D$22^A25</f>
        <v>9.5367431640625E-7</v>
      </c>
      <c r="M25" s="15">
        <f>Assumptions!$D$17*Assumptions!$D$20*L25</f>
        <v>2.0599365234375001E-5</v>
      </c>
      <c r="N25" s="16">
        <f t="shared" si="4"/>
        <v>0.80381958050347813</v>
      </c>
      <c r="O25" s="15">
        <f t="shared" si="5"/>
        <v>1.6558173121333244E-5</v>
      </c>
      <c r="P25" s="15">
        <f t="shared" si="8"/>
        <v>42.735887874213951</v>
      </c>
    </row>
    <row r="26" spans="1:16" ht="15" customHeight="1" x14ac:dyDescent="0.3">
      <c r="A26" s="14">
        <v>21</v>
      </c>
      <c r="B26" s="10">
        <f>Assumptions!$B$22^A26</f>
        <v>0.10941898913151248</v>
      </c>
      <c r="C26" s="15">
        <f>Assumptions!$B$17*Assumptions!$B$20*B26</f>
        <v>28.886613130719294</v>
      </c>
      <c r="D26" s="16">
        <f t="shared" si="0"/>
        <v>0.79509040070711079</v>
      </c>
      <c r="E26" s="15">
        <f t="shared" si="1"/>
        <v>22.967468809174893</v>
      </c>
      <c r="F26" s="15">
        <f t="shared" si="6"/>
        <v>2218.690233857692</v>
      </c>
      <c r="G26" s="10">
        <f>Assumptions!$C$22^A26</f>
        <v>5.5854586408328314E-4</v>
      </c>
      <c r="H26" s="15">
        <f>Assumptions!$C$17*Assumptions!$C$20*G26</f>
        <v>3.3512751844996989E-2</v>
      </c>
      <c r="I26" s="16">
        <f t="shared" si="2"/>
        <v>0.79509040070711079</v>
      </c>
      <c r="J26" s="15">
        <f t="shared" si="3"/>
        <v>2.6645667293236624E-2</v>
      </c>
      <c r="K26" s="15">
        <f t="shared" si="7"/>
        <v>194.99743718785473</v>
      </c>
      <c r="L26" s="10">
        <f>Assumptions!$D$22^A26</f>
        <v>4.76837158203125E-7</v>
      </c>
      <c r="M26" s="15">
        <f>Assumptions!$D$17*Assumptions!$D$20*L26</f>
        <v>1.0299682617187501E-5</v>
      </c>
      <c r="N26" s="16">
        <f t="shared" si="4"/>
        <v>0.79509040070711079</v>
      </c>
      <c r="O26" s="15">
        <f t="shared" si="5"/>
        <v>8.189178779255674E-6</v>
      </c>
      <c r="P26" s="15">
        <f t="shared" si="8"/>
        <v>42.73589606339273</v>
      </c>
    </row>
    <row r="27" spans="1:16" ht="15" customHeight="1" x14ac:dyDescent="0.3">
      <c r="A27" s="14">
        <v>22</v>
      </c>
      <c r="B27" s="10">
        <f>Assumptions!$B$22^A27</f>
        <v>9.8477090218361235E-2</v>
      </c>
      <c r="C27" s="15">
        <f>Assumptions!$B$17*Assumptions!$B$20*B27</f>
        <v>25.997951817647365</v>
      </c>
      <c r="D27" s="16">
        <f t="shared" si="0"/>
        <v>0.78645601653623631</v>
      </c>
      <c r="E27" s="15">
        <f t="shared" si="1"/>
        <v>20.44624562460795</v>
      </c>
      <c r="F27" s="15">
        <f t="shared" si="6"/>
        <v>2239.1364794822998</v>
      </c>
      <c r="G27" s="10">
        <f>Assumptions!$C$22^A27</f>
        <v>3.9098210485829816E-4</v>
      </c>
      <c r="H27" s="15">
        <f>Assumptions!$C$17*Assumptions!$C$20*G27</f>
        <v>2.345892629149789E-2</v>
      </c>
      <c r="I27" s="16">
        <f t="shared" si="2"/>
        <v>0.78645601653623631</v>
      </c>
      <c r="J27" s="15">
        <f t="shared" si="3"/>
        <v>1.8449413723428613E-2</v>
      </c>
      <c r="K27" s="15">
        <f t="shared" si="7"/>
        <v>195.01588660157816</v>
      </c>
      <c r="L27" s="10">
        <f>Assumptions!$D$22^A27</f>
        <v>2.384185791015625E-7</v>
      </c>
      <c r="M27" s="15">
        <f>Assumptions!$D$17*Assumptions!$D$20*L27</f>
        <v>5.1498413085937503E-6</v>
      </c>
      <c r="N27" s="16">
        <f t="shared" si="4"/>
        <v>0.78645601653623631</v>
      </c>
      <c r="O27" s="15">
        <f t="shared" si="5"/>
        <v>4.0501236813503991E-6</v>
      </c>
      <c r="P27" s="15">
        <f t="shared" si="8"/>
        <v>42.735900113516408</v>
      </c>
    </row>
    <row r="28" spans="1:16" ht="15" customHeight="1" x14ac:dyDescent="0.3">
      <c r="A28" s="14">
        <v>23</v>
      </c>
      <c r="B28" s="10">
        <f>Assumptions!$B$22^A28</f>
        <v>8.8629381196525109E-2</v>
      </c>
      <c r="C28" s="15">
        <f>Assumptions!$B$17*Assumptions!$B$20*B28</f>
        <v>23.398156635882629</v>
      </c>
      <c r="D28" s="16">
        <f t="shared" si="0"/>
        <v>0.77791539854584135</v>
      </c>
      <c r="E28" s="15">
        <f t="shared" si="1"/>
        <v>18.201786344640656</v>
      </c>
      <c r="F28" s="15">
        <f t="shared" si="6"/>
        <v>2257.3382658269406</v>
      </c>
      <c r="G28" s="10">
        <f>Assumptions!$C$22^A28</f>
        <v>2.7368747340080868E-4</v>
      </c>
      <c r="H28" s="15">
        <f>Assumptions!$C$17*Assumptions!$C$20*G28</f>
        <v>1.642124840404852E-2</v>
      </c>
      <c r="I28" s="16">
        <f t="shared" si="2"/>
        <v>0.77791539854584135</v>
      </c>
      <c r="J28" s="15">
        <f t="shared" si="3"/>
        <v>1.2774341996855666E-2</v>
      </c>
      <c r="K28" s="15">
        <f t="shared" si="7"/>
        <v>195.02866094357501</v>
      </c>
      <c r="L28" s="10">
        <f>Assumptions!$D$22^A28</f>
        <v>1.1920928955078125E-7</v>
      </c>
      <c r="M28" s="15">
        <f>Assumptions!$D$17*Assumptions!$D$20*L28</f>
        <v>2.5749206542968752E-6</v>
      </c>
      <c r="N28" s="16">
        <f t="shared" si="4"/>
        <v>0.77791539854584135</v>
      </c>
      <c r="O28" s="15">
        <f t="shared" si="5"/>
        <v>2.0030704270112722E-6</v>
      </c>
      <c r="P28" s="15">
        <f t="shared" si="8"/>
        <v>42.735902116586836</v>
      </c>
    </row>
    <row r="29" spans="1:16" ht="15" customHeight="1" x14ac:dyDescent="0.3">
      <c r="A29" s="14">
        <v>24</v>
      </c>
      <c r="B29" s="10">
        <f>Assumptions!$B$22^A29</f>
        <v>7.9766443076872598E-2</v>
      </c>
      <c r="C29" s="15">
        <f>Assumptions!$B$17*Assumptions!$B$20*B29</f>
        <v>21.058340972294367</v>
      </c>
      <c r="D29" s="16">
        <f t="shared" si="0"/>
        <v>0.76946752847029998</v>
      </c>
      <c r="E29" s="15">
        <f t="shared" si="1"/>
        <v>16.2037095816362</v>
      </c>
      <c r="F29" s="15">
        <f t="shared" si="6"/>
        <v>2273.5419754085769</v>
      </c>
      <c r="G29" s="10">
        <f>Assumptions!$C$22^A29</f>
        <v>1.9158123138056607E-4</v>
      </c>
      <c r="H29" s="15">
        <f>Assumptions!$C$17*Assumptions!$C$20*G29</f>
        <v>1.1494873882833965E-2</v>
      </c>
      <c r="I29" s="16">
        <f t="shared" si="2"/>
        <v>0.76946752847029998</v>
      </c>
      <c r="J29" s="15">
        <f t="shared" si="3"/>
        <v>8.844932196702052E-3</v>
      </c>
      <c r="K29" s="15">
        <f t="shared" si="7"/>
        <v>195.0375058757717</v>
      </c>
      <c r="L29" s="10">
        <f>Assumptions!$D$22^A29</f>
        <v>5.9604644775390625E-8</v>
      </c>
      <c r="M29" s="15">
        <f>Assumptions!$D$17*Assumptions!$D$20*L29</f>
        <v>1.2874603271484376E-6</v>
      </c>
      <c r="N29" s="16">
        <f t="shared" si="4"/>
        <v>0.76946752847029998</v>
      </c>
      <c r="O29" s="15">
        <f t="shared" si="5"/>
        <v>9.906589159344722E-7</v>
      </c>
      <c r="P29" s="15">
        <f t="shared" si="8"/>
        <v>42.735903107245754</v>
      </c>
    </row>
    <row r="30" spans="1:16" ht="15" customHeight="1" x14ac:dyDescent="0.3">
      <c r="A30" s="14">
        <v>25</v>
      </c>
      <c r="B30" s="10">
        <f>Assumptions!$B$22^A30</f>
        <v>7.1789798769185342E-2</v>
      </c>
      <c r="C30" s="15">
        <f>Assumptions!$B$17*Assumptions!$B$20*B30</f>
        <v>18.95250687506493</v>
      </c>
      <c r="D30" s="16">
        <f t="shared" si="0"/>
        <v>0.76111139910197012</v>
      </c>
      <c r="E30" s="15">
        <f t="shared" si="1"/>
        <v>14.424969024170377</v>
      </c>
      <c r="F30" s="15">
        <f t="shared" si="6"/>
        <v>2287.9669444327474</v>
      </c>
      <c r="G30" s="10">
        <f>Assumptions!$C$22^A30</f>
        <v>1.3410686196639623E-4</v>
      </c>
      <c r="H30" s="15">
        <f>Assumptions!$C$17*Assumptions!$C$20*G30</f>
        <v>8.046411717983773E-3</v>
      </c>
      <c r="I30" s="16">
        <f t="shared" si="2"/>
        <v>0.76111139910197012</v>
      </c>
      <c r="J30" s="15">
        <f t="shared" si="3"/>
        <v>6.1242156804251161E-3</v>
      </c>
      <c r="K30" s="15">
        <f t="shared" si="7"/>
        <v>195.04363009145212</v>
      </c>
      <c r="L30" s="10">
        <f>Assumptions!$D$22^A30</f>
        <v>2.9802322387695313E-8</v>
      </c>
      <c r="M30" s="15">
        <f>Assumptions!$D$17*Assumptions!$D$20*L30</f>
        <v>6.4373016357421879E-7</v>
      </c>
      <c r="N30" s="16">
        <f t="shared" si="4"/>
        <v>0.76111139910197012</v>
      </c>
      <c r="O30" s="15">
        <f t="shared" si="5"/>
        <v>4.8995036544211373E-7</v>
      </c>
      <c r="P30" s="15">
        <f t="shared" si="8"/>
        <v>42.735903597196121</v>
      </c>
    </row>
    <row r="31" spans="1:16" ht="15" customHeight="1" x14ac:dyDescent="0.3">
      <c r="A31" s="14">
        <v>26</v>
      </c>
      <c r="B31" s="10">
        <f>Assumptions!$B$22^A31</f>
        <v>6.4610818892266816E-2</v>
      </c>
      <c r="C31" s="15">
        <f>Assumptions!$B$17*Assumptions!$B$20*B31</f>
        <v>17.057256187558441</v>
      </c>
      <c r="D31" s="16">
        <f t="shared" si="0"/>
        <v>0.75284601417110719</v>
      </c>
      <c r="E31" s="15">
        <f t="shared" si="1"/>
        <v>12.841487333498828</v>
      </c>
      <c r="F31" s="15">
        <f t="shared" si="6"/>
        <v>2300.808431766246</v>
      </c>
      <c r="G31" s="10">
        <f>Assumptions!$C$22^A31</f>
        <v>9.3874803376477366E-5</v>
      </c>
      <c r="H31" s="15">
        <f>Assumptions!$C$17*Assumptions!$C$20*G31</f>
        <v>5.6324882025886418E-3</v>
      </c>
      <c r="I31" s="16">
        <f t="shared" si="2"/>
        <v>0.75284601417110719</v>
      </c>
      <c r="J31" s="15">
        <f t="shared" si="3"/>
        <v>4.2403962931846428E-3</v>
      </c>
      <c r="K31" s="15">
        <f t="shared" si="7"/>
        <v>195.04787048774531</v>
      </c>
      <c r="L31" s="10">
        <f>Assumptions!$D$22^A31</f>
        <v>1.4901161193847656E-8</v>
      </c>
      <c r="M31" s="15">
        <f>Assumptions!$D$17*Assumptions!$D$20*L31</f>
        <v>3.218650817871094E-7</v>
      </c>
      <c r="N31" s="16">
        <f t="shared" si="4"/>
        <v>0.75284601417110719</v>
      </c>
      <c r="O31" s="15">
        <f t="shared" si="5"/>
        <v>2.4231484392428272E-7</v>
      </c>
      <c r="P31" s="15">
        <f t="shared" si="8"/>
        <v>42.735903839510968</v>
      </c>
    </row>
    <row r="32" spans="1:16" ht="15" customHeight="1" x14ac:dyDescent="0.3">
      <c r="A32" s="14">
        <v>27</v>
      </c>
      <c r="B32" s="10">
        <f>Assumptions!$B$22^A32</f>
        <v>5.8149737003040138E-2</v>
      </c>
      <c r="C32" s="15">
        <f>Assumptions!$B$17*Assumptions!$B$20*B32</f>
        <v>15.351530568802596</v>
      </c>
      <c r="D32" s="16">
        <f t="shared" si="0"/>
        <v>0.74467038822708387</v>
      </c>
      <c r="E32" s="15">
        <f t="shared" si="1"/>
        <v>11.431830228550176</v>
      </c>
      <c r="F32" s="15">
        <f t="shared" si="6"/>
        <v>2312.2402619947961</v>
      </c>
      <c r="G32" s="10">
        <f>Assumptions!$C$22^A32</f>
        <v>6.5712362363534155E-5</v>
      </c>
      <c r="H32" s="15">
        <f>Assumptions!$C$17*Assumptions!$C$20*G32</f>
        <v>3.9427417418120489E-3</v>
      </c>
      <c r="I32" s="16">
        <f t="shared" si="2"/>
        <v>0.74467038822708387</v>
      </c>
      <c r="J32" s="15">
        <f t="shared" si="3"/>
        <v>2.9360430235543075E-3</v>
      </c>
      <c r="K32" s="15">
        <f t="shared" si="7"/>
        <v>195.05080653076888</v>
      </c>
      <c r="L32" s="10">
        <f>Assumptions!$D$22^A32</f>
        <v>7.4505805969238281E-9</v>
      </c>
      <c r="M32" s="15">
        <f>Assumptions!$D$17*Assumptions!$D$20*L32</f>
        <v>1.609325408935547E-7</v>
      </c>
      <c r="N32" s="16">
        <f t="shared" si="4"/>
        <v>0.74467038822708387</v>
      </c>
      <c r="O32" s="15">
        <f t="shared" si="5"/>
        <v>1.1984169770557443E-7</v>
      </c>
      <c r="P32" s="15">
        <f t="shared" si="8"/>
        <v>42.735903959352669</v>
      </c>
    </row>
    <row r="33" spans="1:16" ht="15" customHeight="1" x14ac:dyDescent="0.3">
      <c r="A33" s="14">
        <v>28</v>
      </c>
      <c r="B33" s="10">
        <f>Assumptions!$B$22^A33</f>
        <v>5.2334763302736127E-2</v>
      </c>
      <c r="C33" s="15">
        <f>Assumptions!$B$17*Assumptions!$B$20*B33</f>
        <v>13.816377511922338</v>
      </c>
      <c r="D33" s="16">
        <f t="shared" si="0"/>
        <v>0.7365835465208973</v>
      </c>
      <c r="E33" s="15">
        <f t="shared" si="1"/>
        <v>10.176916347803328</v>
      </c>
      <c r="F33" s="15">
        <f t="shared" si="6"/>
        <v>2322.4171783425995</v>
      </c>
      <c r="G33" s="10">
        <f>Assumptions!$C$22^A33</f>
        <v>4.59986536544739E-5</v>
      </c>
      <c r="H33" s="15">
        <f>Assumptions!$C$17*Assumptions!$C$20*G33</f>
        <v>2.7599192192684341E-3</v>
      </c>
      <c r="I33" s="16">
        <f t="shared" si="2"/>
        <v>0.7365835465208973</v>
      </c>
      <c r="J33" s="15">
        <f t="shared" si="3"/>
        <v>2.0329110866399293E-3</v>
      </c>
      <c r="K33" s="15">
        <f t="shared" si="7"/>
        <v>195.05283944185553</v>
      </c>
      <c r="L33" s="10">
        <f>Assumptions!$D$22^A33</f>
        <v>3.7252902984619141E-9</v>
      </c>
      <c r="M33" s="15">
        <f>Assumptions!$D$17*Assumptions!$D$20*L33</f>
        <v>8.0466270446777349E-8</v>
      </c>
      <c r="N33" s="16">
        <f t="shared" si="4"/>
        <v>0.7365835465208973</v>
      </c>
      <c r="O33" s="15">
        <f t="shared" si="5"/>
        <v>5.927013086099693E-8</v>
      </c>
      <c r="P33" s="15">
        <f t="shared" si="8"/>
        <v>42.735904018622797</v>
      </c>
    </row>
    <row r="34" spans="1:16" ht="15" customHeight="1" x14ac:dyDescent="0.3">
      <c r="A34" s="14">
        <v>29</v>
      </c>
      <c r="B34" s="10">
        <f>Assumptions!$B$22^A34</f>
        <v>4.7101286972462519E-2</v>
      </c>
      <c r="C34" s="15">
        <f>Assumptions!$B$17*Assumptions!$B$20*B34</f>
        <v>12.434739760730105</v>
      </c>
      <c r="D34" s="16">
        <f t="shared" si="0"/>
        <v>0.72858452488895398</v>
      </c>
      <c r="E34" s="15">
        <f t="shared" si="1"/>
        <v>9.0597589606893294</v>
      </c>
      <c r="F34" s="15">
        <f t="shared" si="6"/>
        <v>2331.4769373032887</v>
      </c>
      <c r="G34" s="10">
        <f>Assumptions!$C$22^A34</f>
        <v>3.2199057558131724E-5</v>
      </c>
      <c r="H34" s="15">
        <f>Assumptions!$C$17*Assumptions!$C$20*G34</f>
        <v>1.9319434534879035E-3</v>
      </c>
      <c r="I34" s="16">
        <f t="shared" si="2"/>
        <v>0.72858452488895398</v>
      </c>
      <c r="J34" s="15">
        <f t="shared" si="3"/>
        <v>1.4075841031718091E-3</v>
      </c>
      <c r="K34" s="15">
        <f t="shared" si="7"/>
        <v>195.05424702595869</v>
      </c>
      <c r="L34" s="10">
        <f>Assumptions!$D$22^A34</f>
        <v>1.862645149230957E-9</v>
      </c>
      <c r="M34" s="15">
        <f>Assumptions!$D$17*Assumptions!$D$20*L34</f>
        <v>4.0233135223388675E-8</v>
      </c>
      <c r="N34" s="16">
        <f t="shared" si="4"/>
        <v>0.72858452488895398</v>
      </c>
      <c r="O34" s="15">
        <f t="shared" si="5"/>
        <v>2.9313239711525678E-8</v>
      </c>
      <c r="P34" s="15">
        <f t="shared" si="8"/>
        <v>42.735904047936039</v>
      </c>
    </row>
    <row r="35" spans="1:16" ht="15" customHeight="1" x14ac:dyDescent="0.3">
      <c r="A35" s="14">
        <v>30</v>
      </c>
      <c r="B35" s="10">
        <f>Assumptions!$B$22^A35</f>
        <v>4.2391158275216265E-2</v>
      </c>
      <c r="C35" s="15">
        <f>Assumptions!$B$17*Assumptions!$B$20*B35</f>
        <v>11.191265784657094</v>
      </c>
      <c r="D35" s="16">
        <f t="shared" si="0"/>
        <v>0.72067236963811643</v>
      </c>
      <c r="E35" s="15">
        <f t="shared" si="1"/>
        <v>8.0652360322788024</v>
      </c>
      <c r="F35" s="15">
        <f t="shared" si="6"/>
        <v>2339.5421733355674</v>
      </c>
      <c r="G35" s="10">
        <f>Assumptions!$C$22^A35</f>
        <v>2.2539340290692206E-5</v>
      </c>
      <c r="H35" s="15">
        <f>Assumptions!$C$17*Assumptions!$C$20*G35</f>
        <v>1.3523604174415324E-3</v>
      </c>
      <c r="I35" s="16">
        <f t="shared" si="2"/>
        <v>0.72067236963811643</v>
      </c>
      <c r="J35" s="15">
        <f t="shared" si="3"/>
        <v>9.7460878664238151E-4</v>
      </c>
      <c r="K35" s="15">
        <f t="shared" si="7"/>
        <v>195.05522163474532</v>
      </c>
      <c r="L35" s="10">
        <f>Assumptions!$D$22^A35</f>
        <v>9.3132257461547852E-10</v>
      </c>
      <c r="M35" s="15">
        <f>Assumptions!$D$17*Assumptions!$D$20*L35</f>
        <v>2.0116567611694337E-8</v>
      </c>
      <c r="N35" s="16">
        <f t="shared" si="4"/>
        <v>0.72067236963811643</v>
      </c>
      <c r="O35" s="15">
        <f t="shared" si="5"/>
        <v>1.4497454449705142E-8</v>
      </c>
      <c r="P35" s="15">
        <f t="shared" si="8"/>
        <v>42.735904062433491</v>
      </c>
    </row>
    <row r="36" spans="1:16" ht="15" customHeight="1" x14ac:dyDescent="0.3">
      <c r="A36" s="14">
        <v>31</v>
      </c>
      <c r="B36" s="10">
        <f>Assumptions!$B$22^A36</f>
        <v>3.8152042447694635E-2</v>
      </c>
      <c r="C36" s="15">
        <f>Assumptions!$B$17*Assumptions!$B$20*B36</f>
        <v>10.072139206191384</v>
      </c>
      <c r="D36" s="16">
        <f t="shared" si="0"/>
        <v>0.71284613743199743</v>
      </c>
      <c r="E36" s="15">
        <f t="shared" si="1"/>
        <v>7.1798855288109129</v>
      </c>
      <c r="F36" s="15">
        <f t="shared" si="6"/>
        <v>2346.7220588643781</v>
      </c>
      <c r="G36" s="10">
        <f>Assumptions!$C$22^A36</f>
        <v>1.5777538203484541E-5</v>
      </c>
      <c r="H36" s="15">
        <f>Assumptions!$C$17*Assumptions!$C$20*G36</f>
        <v>9.4665229220907245E-4</v>
      </c>
      <c r="I36" s="16">
        <f t="shared" si="2"/>
        <v>0.71284613743199743</v>
      </c>
      <c r="J36" s="15">
        <f t="shared" si="3"/>
        <v>6.748174299923839E-4</v>
      </c>
      <c r="K36" s="15">
        <f t="shared" si="7"/>
        <v>195.05589645217532</v>
      </c>
      <c r="L36" s="10">
        <f>Assumptions!$D$22^A36</f>
        <v>4.6566128730773926E-10</v>
      </c>
      <c r="M36" s="15">
        <f>Assumptions!$D$17*Assumptions!$D$20*L36</f>
        <v>1.0058283805847169E-8</v>
      </c>
      <c r="N36" s="16">
        <f t="shared" si="4"/>
        <v>0.71284613743199743</v>
      </c>
      <c r="O36" s="15">
        <f t="shared" si="5"/>
        <v>7.1700087601929647E-9</v>
      </c>
      <c r="P36" s="15">
        <f t="shared" si="8"/>
        <v>42.7359040696035</v>
      </c>
    </row>
    <row r="37" spans="1:16" ht="15" customHeight="1" x14ac:dyDescent="0.3">
      <c r="A37" s="14">
        <v>32</v>
      </c>
      <c r="B37" s="10">
        <f>Assumptions!$B$22^A37</f>
        <v>3.4336838202925178E-2</v>
      </c>
      <c r="C37" s="15">
        <f>Assumptions!$B$17*Assumptions!$B$20*B37</f>
        <v>9.0649252855722473</v>
      </c>
      <c r="D37" s="16">
        <f t="shared" si="0"/>
        <v>0.70510489517849029</v>
      </c>
      <c r="E37" s="15">
        <f t="shared" si="1"/>
        <v>6.3917231932842657</v>
      </c>
      <c r="F37" s="15">
        <f t="shared" si="6"/>
        <v>2353.1137820576623</v>
      </c>
      <c r="G37" s="10">
        <f>Assumptions!$C$22^A37</f>
        <v>1.1044276742439181E-5</v>
      </c>
      <c r="H37" s="15">
        <f>Assumptions!$C$17*Assumptions!$C$20*G37</f>
        <v>6.6265660454635088E-4</v>
      </c>
      <c r="I37" s="16">
        <f t="shared" si="2"/>
        <v>0.70510489517849029</v>
      </c>
      <c r="J37" s="15">
        <f t="shared" si="3"/>
        <v>4.67242415687989E-4</v>
      </c>
      <c r="K37" s="15">
        <f t="shared" si="7"/>
        <v>195.056363694591</v>
      </c>
      <c r="L37" s="10">
        <f>Assumptions!$D$22^A37</f>
        <v>2.3283064365386963E-10</v>
      </c>
      <c r="M37" s="15">
        <f>Assumptions!$D$17*Assumptions!$D$20*L37</f>
        <v>5.0291419029235843E-9</v>
      </c>
      <c r="N37" s="16">
        <f t="shared" si="4"/>
        <v>0.70510489517849029</v>
      </c>
      <c r="O37" s="15">
        <f t="shared" si="5"/>
        <v>3.5460725742986873E-9</v>
      </c>
      <c r="P37" s="15">
        <f t="shared" si="8"/>
        <v>42.73590407314957</v>
      </c>
    </row>
    <row r="38" spans="1:16" ht="15" customHeight="1" x14ac:dyDescent="0.3">
      <c r="A38" s="14">
        <v>33</v>
      </c>
      <c r="B38" s="10">
        <f>Assumptions!$B$22^A38</f>
        <v>3.090315438263266E-2</v>
      </c>
      <c r="C38" s="15">
        <f>Assumptions!$B$17*Assumptions!$B$20*B38</f>
        <v>8.1584327570150226</v>
      </c>
      <c r="D38" s="16">
        <f t="shared" si="0"/>
        <v>0.69744771991851895</v>
      </c>
      <c r="E38" s="15">
        <f t="shared" si="1"/>
        <v>5.6900803244886839</v>
      </c>
      <c r="F38" s="15">
        <f t="shared" si="6"/>
        <v>2358.8038623821508</v>
      </c>
      <c r="G38" s="10">
        <f>Assumptions!$C$22^A38</f>
        <v>7.7309937197074258E-6</v>
      </c>
      <c r="H38" s="15">
        <f>Assumptions!$C$17*Assumptions!$C$20*G38</f>
        <v>4.6385962318244554E-4</v>
      </c>
      <c r="I38" s="16">
        <f t="shared" si="2"/>
        <v>0.69744771991851895</v>
      </c>
      <c r="J38" s="15">
        <f t="shared" si="3"/>
        <v>3.2351783655086E-4</v>
      </c>
      <c r="K38" s="15">
        <f t="shared" si="7"/>
        <v>195.05668721242756</v>
      </c>
      <c r="L38" s="10">
        <f>Assumptions!$D$22^A38</f>
        <v>1.1641532182693481E-10</v>
      </c>
      <c r="M38" s="15">
        <f>Assumptions!$D$17*Assumptions!$D$20*L38</f>
        <v>2.5145709514617922E-9</v>
      </c>
      <c r="N38" s="16">
        <f t="shared" si="4"/>
        <v>0.69744771991851895</v>
      </c>
      <c r="O38" s="15">
        <f t="shared" si="5"/>
        <v>1.7537817766703676E-9</v>
      </c>
      <c r="P38" s="15">
        <f t="shared" si="8"/>
        <v>42.735904074903353</v>
      </c>
    </row>
    <row r="39" spans="1:16" ht="15" customHeight="1" x14ac:dyDescent="0.3">
      <c r="A39" s="14">
        <v>34</v>
      </c>
      <c r="B39" s="10">
        <f>Assumptions!$B$22^A39</f>
        <v>2.7812838944369395E-2</v>
      </c>
      <c r="C39" s="15">
        <f>Assumptions!$B$17*Assumptions!$B$20*B39</f>
        <v>7.34258948131352</v>
      </c>
      <c r="D39" s="16">
        <f t="shared" si="0"/>
        <v>0.68987369871599735</v>
      </c>
      <c r="E39" s="15">
        <f t="shared" si="1"/>
        <v>5.0654593636269345</v>
      </c>
      <c r="F39" s="15">
        <f t="shared" si="6"/>
        <v>2363.8693217457776</v>
      </c>
      <c r="G39" s="10">
        <f>Assumptions!$C$22^A39</f>
        <v>5.4116956037951975E-6</v>
      </c>
      <c r="H39" s="15">
        <f>Assumptions!$C$17*Assumptions!$C$20*G39</f>
        <v>3.2470173622771187E-4</v>
      </c>
      <c r="I39" s="16">
        <f t="shared" si="2"/>
        <v>0.68987369871599735</v>
      </c>
      <c r="J39" s="15">
        <f t="shared" si="3"/>
        <v>2.2400318775091775E-4</v>
      </c>
      <c r="K39" s="15">
        <f t="shared" si="7"/>
        <v>195.05691121561532</v>
      </c>
      <c r="L39" s="10">
        <f>Assumptions!$D$22^A39</f>
        <v>5.8207660913467407E-11</v>
      </c>
      <c r="M39" s="15">
        <f>Assumptions!$D$17*Assumptions!$D$20*L39</f>
        <v>1.2572854757308961E-9</v>
      </c>
      <c r="N39" s="16">
        <f t="shared" si="4"/>
        <v>0.68987369871599735</v>
      </c>
      <c r="O39" s="15">
        <f t="shared" si="5"/>
        <v>8.6736818148437564E-10</v>
      </c>
      <c r="P39" s="15">
        <f t="shared" si="8"/>
        <v>42.735904075770719</v>
      </c>
    </row>
    <row r="40" spans="1:16" ht="15" customHeight="1" x14ac:dyDescent="0.3">
      <c r="A40" s="14">
        <v>35</v>
      </c>
      <c r="B40" s="10">
        <f>Assumptions!$B$22^A40</f>
        <v>2.5031555049932458E-2</v>
      </c>
      <c r="C40" s="15">
        <f>Assumptions!$B$17*Assumptions!$B$20*B40</f>
        <v>6.6083305331821691</v>
      </c>
      <c r="D40" s="16">
        <f t="shared" si="0"/>
        <v>0.68238192854898427</v>
      </c>
      <c r="E40" s="15">
        <f t="shared" si="1"/>
        <v>4.5094053337219862</v>
      </c>
      <c r="F40" s="15">
        <f t="shared" si="6"/>
        <v>2368.3787270794996</v>
      </c>
      <c r="G40" s="10">
        <f>Assumptions!$C$22^A40</f>
        <v>3.7881869226566379E-6</v>
      </c>
      <c r="H40" s="15">
        <f>Assumptions!$C$17*Assumptions!$C$20*G40</f>
        <v>2.2729121535939827E-4</v>
      </c>
      <c r="I40" s="16">
        <f t="shared" si="2"/>
        <v>0.68238192854898427</v>
      </c>
      <c r="J40" s="15">
        <f t="shared" si="3"/>
        <v>1.550994178791887E-4</v>
      </c>
      <c r="K40" s="15">
        <f t="shared" si="7"/>
        <v>195.05706631503318</v>
      </c>
      <c r="L40" s="10">
        <f>Assumptions!$D$22^A40</f>
        <v>2.9103830456733704E-11</v>
      </c>
      <c r="M40" s="15">
        <f>Assumptions!$D$17*Assumptions!$D$20*L40</f>
        <v>6.2864273786544804E-10</v>
      </c>
      <c r="N40" s="16">
        <f t="shared" si="4"/>
        <v>0.68238192854898427</v>
      </c>
      <c r="O40" s="15">
        <f t="shared" si="5"/>
        <v>4.2897444383293803E-10</v>
      </c>
      <c r="P40" s="15">
        <f t="shared" si="8"/>
        <v>42.735904076199695</v>
      </c>
    </row>
    <row r="42" spans="1:16" ht="18" customHeight="1" x14ac:dyDescent="0.3">
      <c r="A42" s="35" t="s">
        <v>70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spans="1:16" ht="15" customHeight="1" x14ac:dyDescent="0.3">
      <c r="A43" s="2" t="s">
        <v>71</v>
      </c>
      <c r="B43" s="17">
        <f>SUM(E5:E40)</f>
        <v>2368.3787270794996</v>
      </c>
      <c r="G43" s="17">
        <f>SUM(J5:J40)</f>
        <v>195.05706631503318</v>
      </c>
      <c r="L43" s="17">
        <f>SUM(O5:O40)</f>
        <v>42.735904076199695</v>
      </c>
    </row>
    <row r="44" spans="1:16" ht="15" customHeight="1" x14ac:dyDescent="0.3">
      <c r="A44" s="4" t="s">
        <v>72</v>
      </c>
      <c r="B44" s="9">
        <f>(Assumptions!$B$17*Assumptions!$B$20)/(1-Assumptions!$B$22/(1+$S$1))</f>
        <v>2404.9484403990432</v>
      </c>
      <c r="F44" s="3" t="s">
        <v>73</v>
      </c>
      <c r="G44" s="9">
        <f>(Assumptions!$C$17*Assumptions!$C$20)/(1-Assumptions!$C$22/(1+$S$1))</f>
        <v>195.05741543714183</v>
      </c>
      <c r="L44" s="9">
        <f>(Assumptions!$D$17*Assumptions!$D$20)/(1-Assumptions!$D$22/(1+$S$1))</f>
        <v>42.735904076619455</v>
      </c>
    </row>
    <row r="45" spans="1:16" ht="15" customHeight="1" x14ac:dyDescent="0.3">
      <c r="A45" s="4" t="s">
        <v>45</v>
      </c>
      <c r="B45" s="18">
        <f>Assumptions!$B$25</f>
        <v>350</v>
      </c>
      <c r="G45" s="18">
        <f>Assumptions!$C$25</f>
        <v>150</v>
      </c>
      <c r="L45" s="18">
        <f>Assumptions!$D$25</f>
        <v>220</v>
      </c>
    </row>
    <row r="46" spans="1:16" ht="15" customHeight="1" x14ac:dyDescent="0.3">
      <c r="A46" s="2" t="s">
        <v>74</v>
      </c>
      <c r="B46" s="19">
        <f>B43/B45</f>
        <v>6.7667963630842847</v>
      </c>
      <c r="G46" s="19">
        <f>G43/G45</f>
        <v>1.3003804421002212</v>
      </c>
      <c r="L46" s="19">
        <f>L43/L45</f>
        <v>0.19425410943727134</v>
      </c>
    </row>
    <row r="47" spans="1:16" ht="15" customHeight="1" x14ac:dyDescent="0.3">
      <c r="A47" s="4" t="s">
        <v>75</v>
      </c>
      <c r="B47" s="20">
        <f>MATCH(B45,F5:F40,1)-1</f>
        <v>0</v>
      </c>
      <c r="F47" s="3" t="s">
        <v>76</v>
      </c>
      <c r="G47" s="20">
        <f>MATCH(G45,K5:K40,1)-1</f>
        <v>2</v>
      </c>
      <c r="L47" s="20">
        <f>MATCH(L45,P5:P40,1)-1</f>
        <v>35</v>
      </c>
    </row>
  </sheetData>
  <mergeCells count="6">
    <mergeCell ref="A42:P42"/>
    <mergeCell ref="A1:P1"/>
    <mergeCell ref="A2:P2"/>
    <mergeCell ref="B3:F3"/>
    <mergeCell ref="G3:K3"/>
    <mergeCell ref="L3:P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2A44"/>
  </sheetPr>
  <dimension ref="A1:M40"/>
  <sheetViews>
    <sheetView showGridLines="0" zoomScaleNormal="100" workbookViewId="0">
      <pane xSplit="1" ySplit="4" topLeftCell="B25" activePane="bottomRight" state="frozen"/>
      <selection pane="topRight" activeCell="B1" sqref="B1"/>
      <selection pane="bottomLeft" activeCell="A5" sqref="A5"/>
      <selection pane="bottomRight" activeCell="F8" sqref="F8"/>
    </sheetView>
  </sheetViews>
  <sheetFormatPr defaultColWidth="8.6640625" defaultRowHeight="14.4" x14ac:dyDescent="0.3"/>
  <cols>
    <col min="1" max="1" width="42" customWidth="1"/>
    <col min="2" max="13" width="10" customWidth="1"/>
  </cols>
  <sheetData>
    <row r="1" spans="1:13" ht="24" customHeight="1" x14ac:dyDescent="0.4">
      <c r="A1" s="33" t="s">
        <v>179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15" customHeight="1" x14ac:dyDescent="0.3">
      <c r="A2" s="34" t="s">
        <v>77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6" customHeight="1" x14ac:dyDescent="0.3">
      <c r="B3" s="39" t="s">
        <v>78</v>
      </c>
      <c r="C3" s="39"/>
      <c r="D3" s="39"/>
      <c r="E3" s="39"/>
      <c r="F3" s="39" t="s">
        <v>79</v>
      </c>
      <c r="G3" s="39"/>
      <c r="H3" s="39"/>
      <c r="I3" s="39"/>
      <c r="J3" s="39" t="s">
        <v>80</v>
      </c>
      <c r="K3" s="39"/>
      <c r="L3" s="39"/>
      <c r="M3" s="39"/>
    </row>
    <row r="4" spans="1:13" ht="15" customHeight="1" x14ac:dyDescent="0.3">
      <c r="A4" s="21" t="s">
        <v>33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  <c r="G4" s="7" t="s">
        <v>86</v>
      </c>
      <c r="H4" s="7" t="s">
        <v>87</v>
      </c>
      <c r="I4" s="7" t="s">
        <v>88</v>
      </c>
      <c r="J4" s="7" t="s">
        <v>89</v>
      </c>
      <c r="K4" s="7" t="s">
        <v>90</v>
      </c>
      <c r="L4" s="7" t="s">
        <v>91</v>
      </c>
      <c r="M4" s="7" t="s">
        <v>92</v>
      </c>
    </row>
    <row r="6" spans="1:13" ht="18" customHeight="1" x14ac:dyDescent="0.3">
      <c r="A6" s="35" t="s">
        <v>93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ht="15" customHeight="1" x14ac:dyDescent="0.3">
      <c r="A7" s="4" t="s">
        <v>94</v>
      </c>
      <c r="B7" s="8">
        <v>3000</v>
      </c>
      <c r="C7" s="8">
        <v>6000</v>
      </c>
      <c r="D7" s="8">
        <v>9000</v>
      </c>
      <c r="E7" s="8">
        <v>12000</v>
      </c>
      <c r="F7" s="8">
        <v>15000</v>
      </c>
      <c r="G7" s="8">
        <v>16000</v>
      </c>
      <c r="H7" s="8">
        <v>17000</v>
      </c>
      <c r="I7" s="8">
        <v>18000</v>
      </c>
      <c r="J7" s="8">
        <v>19000</v>
      </c>
      <c r="K7" s="8">
        <v>20000</v>
      </c>
      <c r="L7" s="8">
        <v>21000</v>
      </c>
      <c r="M7" s="8">
        <v>22000</v>
      </c>
    </row>
    <row r="8" spans="1:13" ht="15" customHeight="1" x14ac:dyDescent="0.3">
      <c r="A8" s="4" t="s">
        <v>95</v>
      </c>
      <c r="B8" s="20">
        <f>B7</f>
        <v>3000</v>
      </c>
      <c r="C8" s="20">
        <f>B8*Assumptions!$B$24+C7</f>
        <v>8187</v>
      </c>
      <c r="D8" s="20">
        <f>C8*Assumptions!$B$24+D7</f>
        <v>14968.323</v>
      </c>
      <c r="E8" s="20">
        <f>D8*Assumptions!$B$24+E7</f>
        <v>22911.907467000001</v>
      </c>
      <c r="F8" s="20">
        <f>E8*Assumptions!$B$24+F7</f>
        <v>31702.780543443001</v>
      </c>
      <c r="G8" s="20">
        <f>F8*Assumptions!$B$24+G7</f>
        <v>39111.327016169947</v>
      </c>
      <c r="H8" s="20">
        <f>G8*Assumptions!$B$24+H7</f>
        <v>45512.157394787893</v>
      </c>
      <c r="I8" s="20">
        <f>H8*Assumptions!$B$24+I7</f>
        <v>51178.362740800381</v>
      </c>
      <c r="J8" s="20">
        <f>I8*Assumptions!$B$24+J7</f>
        <v>56309.026438043482</v>
      </c>
      <c r="K8" s="20">
        <f>J8*Assumptions!$B$24+K7</f>
        <v>61049.280273333701</v>
      </c>
      <c r="L8" s="20">
        <f>K8*Assumptions!$B$24+L7</f>
        <v>65504.925319260277</v>
      </c>
      <c r="M8" s="20">
        <f>L8*Assumptions!$B$24+M7</f>
        <v>69753.090557740739</v>
      </c>
    </row>
    <row r="9" spans="1:13" ht="15" customHeight="1" x14ac:dyDescent="0.3">
      <c r="A9" s="4" t="s">
        <v>96</v>
      </c>
      <c r="B9" s="20">
        <f>B8*Assumptions!$B$17*3</f>
        <v>108000</v>
      </c>
      <c r="C9" s="20">
        <f>C8*Assumptions!$B$17*3</f>
        <v>294732</v>
      </c>
      <c r="D9" s="20">
        <f>D8*Assumptions!$B$17*3</f>
        <v>538859.62800000003</v>
      </c>
      <c r="E9" s="20">
        <f>E8*Assumptions!$B$17*3</f>
        <v>824828.66881200008</v>
      </c>
      <c r="F9" s="20">
        <f>F8*Assumptions!$B$17*3</f>
        <v>1141300.0995639479</v>
      </c>
      <c r="G9" s="20">
        <f>G8*Assumptions!$B$17*3</f>
        <v>1408007.7725821182</v>
      </c>
      <c r="H9" s="20">
        <f>H8*Assumptions!$B$17*3</f>
        <v>1638437.6662123643</v>
      </c>
      <c r="I9" s="20">
        <f>I8*Assumptions!$B$17*3</f>
        <v>1842421.0586688139</v>
      </c>
      <c r="J9" s="20">
        <f>J8*Assumptions!$B$17*3</f>
        <v>2027124.9517695652</v>
      </c>
      <c r="K9" s="20">
        <f>K8*Assumptions!$B$17*3</f>
        <v>2197774.0898400131</v>
      </c>
      <c r="L9" s="20">
        <f>L8*Assumptions!$B$17*3</f>
        <v>2358177.3114933698</v>
      </c>
      <c r="M9" s="20">
        <f>M8*Assumptions!$B$17*3</f>
        <v>2511111.2600786667</v>
      </c>
    </row>
    <row r="10" spans="1:13" ht="15" customHeight="1" x14ac:dyDescent="0.3">
      <c r="A10" s="4" t="s">
        <v>97</v>
      </c>
      <c r="B10" s="15">
        <f>B9*Assumptions!$B$18/100000</f>
        <v>75.599999999999994</v>
      </c>
      <c r="C10" s="15">
        <f>C9*Assumptions!$B$18/100000</f>
        <v>206.3124</v>
      </c>
      <c r="D10" s="15">
        <f>D9*Assumptions!$B$18/100000</f>
        <v>377.2017396</v>
      </c>
      <c r="E10" s="15">
        <f>E9*Assumptions!$B$18/100000</f>
        <v>577.38006816840004</v>
      </c>
      <c r="F10" s="15">
        <f>F9*Assumptions!$B$18/100000</f>
        <v>798.91006969476359</v>
      </c>
      <c r="G10" s="15">
        <f>G9*Assumptions!$B$18/100000</f>
        <v>985.60544080748275</v>
      </c>
      <c r="H10" s="15">
        <f>H9*Assumptions!$B$18/100000</f>
        <v>1146.9063663486552</v>
      </c>
      <c r="I10" s="15">
        <f>I9*Assumptions!$B$18/100000</f>
        <v>1289.6947410681698</v>
      </c>
      <c r="J10" s="15">
        <f>J9*Assumptions!$B$18/100000</f>
        <v>1418.9874662386958</v>
      </c>
      <c r="K10" s="15">
        <f>K9*Assumptions!$B$18/100000</f>
        <v>1538.4418628880092</v>
      </c>
      <c r="L10" s="15">
        <f>L9*Assumptions!$B$18/100000</f>
        <v>1650.7241180453589</v>
      </c>
      <c r="M10" s="15">
        <f>M9*Assumptions!$B$18/100000</f>
        <v>1757.7778820550668</v>
      </c>
    </row>
    <row r="11" spans="1:13" ht="15" customHeight="1" x14ac:dyDescent="0.3">
      <c r="A11" s="4" t="s">
        <v>98</v>
      </c>
      <c r="B11" s="15">
        <f>B9*Assumptions!$B$19/100000</f>
        <v>51.84</v>
      </c>
      <c r="C11" s="15">
        <f>C9*Assumptions!$B$19/100000</f>
        <v>141.47136</v>
      </c>
      <c r="D11" s="15">
        <f>D9*Assumptions!$B$19/100000</f>
        <v>258.65262144000002</v>
      </c>
      <c r="E11" s="15">
        <f>E9*Assumptions!$B$19/100000</f>
        <v>395.91776102976002</v>
      </c>
      <c r="F11" s="15">
        <f>F9*Assumptions!$B$19/100000</f>
        <v>547.82404779069498</v>
      </c>
      <c r="G11" s="15">
        <f>G9*Assumptions!$B$19/100000</f>
        <v>675.84373083941671</v>
      </c>
      <c r="H11" s="15">
        <f>H9*Assumptions!$B$19/100000</f>
        <v>786.45007978193496</v>
      </c>
      <c r="I11" s="15">
        <f>I9*Assumptions!$B$19/100000</f>
        <v>884.36210816103073</v>
      </c>
      <c r="J11" s="15">
        <f>J9*Assumptions!$B$19/100000</f>
        <v>973.01997684939136</v>
      </c>
      <c r="K11" s="15">
        <f>K9*Assumptions!$B$19/100000</f>
        <v>1054.9315631232062</v>
      </c>
      <c r="L11" s="15">
        <f>L9*Assumptions!$B$19/100000</f>
        <v>1131.9251095168174</v>
      </c>
      <c r="M11" s="15">
        <f>M9*Assumptions!$B$19/100000</f>
        <v>1205.3334048377601</v>
      </c>
    </row>
    <row r="12" spans="1:13" ht="15" customHeight="1" x14ac:dyDescent="0.3">
      <c r="A12" s="4" t="s">
        <v>99</v>
      </c>
      <c r="B12" s="15">
        <f t="shared" ref="B12:M12" si="0">B10-B11</f>
        <v>23.759999999999991</v>
      </c>
      <c r="C12" s="15">
        <f t="shared" si="0"/>
        <v>64.841039999999992</v>
      </c>
      <c r="D12" s="15">
        <f t="shared" si="0"/>
        <v>118.54911815999998</v>
      </c>
      <c r="E12" s="15">
        <f t="shared" si="0"/>
        <v>181.46230713864003</v>
      </c>
      <c r="F12" s="15">
        <f t="shared" si="0"/>
        <v>251.08602190406862</v>
      </c>
      <c r="G12" s="15">
        <f t="shared" si="0"/>
        <v>309.76170996806604</v>
      </c>
      <c r="H12" s="15">
        <f t="shared" si="0"/>
        <v>360.45628656672022</v>
      </c>
      <c r="I12" s="15">
        <f t="shared" si="0"/>
        <v>405.3326329071391</v>
      </c>
      <c r="J12" s="15">
        <f t="shared" si="0"/>
        <v>445.96748938930443</v>
      </c>
      <c r="K12" s="15">
        <f t="shared" si="0"/>
        <v>483.51029976480299</v>
      </c>
      <c r="L12" s="15">
        <f t="shared" si="0"/>
        <v>518.79900852854144</v>
      </c>
      <c r="M12" s="15">
        <f t="shared" si="0"/>
        <v>552.44447721730671</v>
      </c>
    </row>
    <row r="13" spans="1:13" ht="15" customHeight="1" x14ac:dyDescent="0.3">
      <c r="A13" s="4" t="s">
        <v>100</v>
      </c>
      <c r="B13" s="15">
        <f>B7*Assumptions!$B$25/100000</f>
        <v>10.5</v>
      </c>
      <c r="C13" s="15">
        <f>C7*Assumptions!$B$25/100000</f>
        <v>21</v>
      </c>
      <c r="D13" s="15">
        <f>D7*Assumptions!$B$25/100000</f>
        <v>31.5</v>
      </c>
      <c r="E13" s="15">
        <f>E7*Assumptions!$B$25/100000</f>
        <v>42</v>
      </c>
      <c r="F13" s="15">
        <f>F7*Assumptions!$B$25/100000</f>
        <v>52.5</v>
      </c>
      <c r="G13" s="15">
        <f>G7*Assumptions!$B$25/100000</f>
        <v>56</v>
      </c>
      <c r="H13" s="15">
        <f>H7*Assumptions!$B$25/100000</f>
        <v>59.5</v>
      </c>
      <c r="I13" s="15">
        <f>I7*Assumptions!$B$25/100000</f>
        <v>63</v>
      </c>
      <c r="J13" s="15">
        <f>J7*Assumptions!$B$25/100000</f>
        <v>66.5</v>
      </c>
      <c r="K13" s="15">
        <f>K7*Assumptions!$B$25/100000</f>
        <v>70</v>
      </c>
      <c r="L13" s="15">
        <f>L7*Assumptions!$B$25/100000</f>
        <v>73.5</v>
      </c>
      <c r="M13" s="15">
        <f>M7*Assumptions!$B$25/100000</f>
        <v>77</v>
      </c>
    </row>
    <row r="15" spans="1:13" ht="18" customHeight="1" x14ac:dyDescent="0.3">
      <c r="A15" s="35" t="s">
        <v>101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</row>
    <row r="16" spans="1:13" ht="15" customHeight="1" x14ac:dyDescent="0.3">
      <c r="A16" s="4" t="s">
        <v>94</v>
      </c>
      <c r="B16" s="8">
        <v>5000</v>
      </c>
      <c r="C16" s="8">
        <v>3000</v>
      </c>
      <c r="D16" s="8">
        <v>7000</v>
      </c>
      <c r="E16" s="8">
        <v>4000</v>
      </c>
      <c r="F16" s="8">
        <v>8000</v>
      </c>
      <c r="G16" s="8">
        <v>5000</v>
      </c>
      <c r="H16" s="8">
        <v>9000</v>
      </c>
      <c r="I16" s="8">
        <v>6000</v>
      </c>
      <c r="J16" s="8">
        <v>10000</v>
      </c>
      <c r="K16" s="8">
        <v>7000</v>
      </c>
      <c r="L16" s="8">
        <v>11000</v>
      </c>
      <c r="M16" s="8">
        <v>8000</v>
      </c>
    </row>
    <row r="17" spans="1:13" ht="15" customHeight="1" x14ac:dyDescent="0.3">
      <c r="A17" s="4" t="s">
        <v>95</v>
      </c>
      <c r="B17" s="20">
        <f>B16</f>
        <v>5000</v>
      </c>
      <c r="C17" s="20">
        <f>B17*Assumptions!$C$24+C16</f>
        <v>4715</v>
      </c>
      <c r="D17" s="20">
        <f>C17*Assumptions!$C$24+D16</f>
        <v>8617.244999999999</v>
      </c>
      <c r="E17" s="20">
        <f>D17*Assumptions!$C$24+E16</f>
        <v>6955.7150349999993</v>
      </c>
      <c r="F17" s="20">
        <f>E17*Assumptions!$C$24+F16</f>
        <v>10385.810257005</v>
      </c>
      <c r="G17" s="20">
        <f>F17*Assumptions!$C$24+G16</f>
        <v>8562.3329181527133</v>
      </c>
      <c r="H17" s="20">
        <f>G17*Assumptions!$C$24+H16</f>
        <v>11936.88019092638</v>
      </c>
      <c r="I17" s="20">
        <f>H17*Assumptions!$C$24+I16</f>
        <v>10094.349905487747</v>
      </c>
      <c r="J17" s="20">
        <f>I17*Assumptions!$C$24+J16</f>
        <v>13462.362017582296</v>
      </c>
      <c r="K17" s="20">
        <f>J17*Assumptions!$C$24+K16</f>
        <v>11617.590172030727</v>
      </c>
      <c r="L17" s="20">
        <f>K17*Assumptions!$C$24+L16</f>
        <v>14984.833429006538</v>
      </c>
      <c r="M17" s="20">
        <f>L17*Assumptions!$C$24+M16</f>
        <v>13139.797866149242</v>
      </c>
    </row>
    <row r="18" spans="1:13" ht="15" customHeight="1" x14ac:dyDescent="0.3">
      <c r="A18" s="4" t="s">
        <v>96</v>
      </c>
      <c r="B18" s="20">
        <f>B17*Assumptions!$C$17*3</f>
        <v>30000</v>
      </c>
      <c r="C18" s="20">
        <f>C17*Assumptions!$C$17*3</f>
        <v>28290</v>
      </c>
      <c r="D18" s="20">
        <f>D17*Assumptions!$C$17*3</f>
        <v>51703.469999999994</v>
      </c>
      <c r="E18" s="20">
        <f>E17*Assumptions!$C$17*3</f>
        <v>41734.290209999992</v>
      </c>
      <c r="F18" s="20">
        <f>F17*Assumptions!$C$17*3</f>
        <v>62314.861542029998</v>
      </c>
      <c r="G18" s="20">
        <f>G17*Assumptions!$C$17*3</f>
        <v>51373.997508916276</v>
      </c>
      <c r="H18" s="20">
        <f>H17*Assumptions!$C$17*3</f>
        <v>71621.281145558285</v>
      </c>
      <c r="I18" s="20">
        <f>I17*Assumptions!$C$17*3</f>
        <v>60566.099432926479</v>
      </c>
      <c r="J18" s="20">
        <f>J17*Assumptions!$C$17*3</f>
        <v>80774.172105493781</v>
      </c>
      <c r="K18" s="20">
        <f>K17*Assumptions!$C$17*3</f>
        <v>69705.541032184352</v>
      </c>
      <c r="L18" s="20">
        <f>L17*Assumptions!$C$17*3</f>
        <v>89909.000574039223</v>
      </c>
      <c r="M18" s="20">
        <f>M17*Assumptions!$C$17*3</f>
        <v>78838.787196895457</v>
      </c>
    </row>
    <row r="19" spans="1:13" ht="15" customHeight="1" x14ac:dyDescent="0.3">
      <c r="A19" s="4" t="s">
        <v>97</v>
      </c>
      <c r="B19" s="15">
        <f>B18*Assumptions!$C$18/100000</f>
        <v>25.5</v>
      </c>
      <c r="C19" s="15">
        <f>C18*Assumptions!$C$18/100000</f>
        <v>24.046500000000002</v>
      </c>
      <c r="D19" s="15">
        <f>D18*Assumptions!$C$18/100000</f>
        <v>43.947949499999993</v>
      </c>
      <c r="E19" s="15">
        <f>E18*Assumptions!$C$18/100000</f>
        <v>35.474146678499991</v>
      </c>
      <c r="F19" s="15">
        <f>F18*Assumptions!$C$18/100000</f>
        <v>52.967632310725499</v>
      </c>
      <c r="G19" s="15">
        <f>G18*Assumptions!$C$18/100000</f>
        <v>43.667897882578842</v>
      </c>
      <c r="H19" s="15">
        <f>H18*Assumptions!$C$18/100000</f>
        <v>60.878088973724545</v>
      </c>
      <c r="I19" s="15">
        <f>I18*Assumptions!$C$18/100000</f>
        <v>51.481184517987508</v>
      </c>
      <c r="J19" s="15">
        <f>J18*Assumptions!$C$18/100000</f>
        <v>68.658046289669713</v>
      </c>
      <c r="K19" s="15">
        <f>K18*Assumptions!$C$18/100000</f>
        <v>59.2497098773567</v>
      </c>
      <c r="L19" s="15">
        <f>L18*Assumptions!$C$18/100000</f>
        <v>76.422650487933339</v>
      </c>
      <c r="M19" s="15">
        <f>M18*Assumptions!$C$18/100000</f>
        <v>67.012969117361138</v>
      </c>
    </row>
    <row r="20" spans="1:13" ht="15" customHeight="1" x14ac:dyDescent="0.3">
      <c r="A20" s="4" t="s">
        <v>98</v>
      </c>
      <c r="B20" s="15">
        <f>B18*Assumptions!$C$19/100000</f>
        <v>16.5</v>
      </c>
      <c r="C20" s="15">
        <f>C18*Assumptions!$C$19/100000</f>
        <v>15.5595</v>
      </c>
      <c r="D20" s="15">
        <f>D18*Assumptions!$C$19/100000</f>
        <v>28.436908499999998</v>
      </c>
      <c r="E20" s="15">
        <f>E18*Assumptions!$C$19/100000</f>
        <v>22.953859615499997</v>
      </c>
      <c r="F20" s="15">
        <f>F18*Assumptions!$C$19/100000</f>
        <v>34.2731738481165</v>
      </c>
      <c r="G20" s="15">
        <f>G18*Assumptions!$C$19/100000</f>
        <v>28.25569862990395</v>
      </c>
      <c r="H20" s="15">
        <f>H18*Assumptions!$C$19/100000</f>
        <v>39.391704630057056</v>
      </c>
      <c r="I20" s="15">
        <f>I18*Assumptions!$C$19/100000</f>
        <v>33.311354688109567</v>
      </c>
      <c r="J20" s="15">
        <f>J18*Assumptions!$C$19/100000</f>
        <v>44.42579465802158</v>
      </c>
      <c r="K20" s="15">
        <f>K18*Assumptions!$C$19/100000</f>
        <v>38.338047567701395</v>
      </c>
      <c r="L20" s="15">
        <f>L18*Assumptions!$C$19/100000</f>
        <v>49.449950315721573</v>
      </c>
      <c r="M20" s="15">
        <f>M18*Assumptions!$C$19/100000</f>
        <v>43.361332958292508</v>
      </c>
    </row>
    <row r="21" spans="1:13" ht="15" customHeight="1" x14ac:dyDescent="0.3">
      <c r="A21" s="4" t="s">
        <v>99</v>
      </c>
      <c r="B21" s="15">
        <f t="shared" ref="B21:M21" si="1">B19-B20</f>
        <v>9</v>
      </c>
      <c r="C21" s="15">
        <f t="shared" si="1"/>
        <v>8.4870000000000019</v>
      </c>
      <c r="D21" s="15">
        <f t="shared" si="1"/>
        <v>15.511040999999995</v>
      </c>
      <c r="E21" s="15">
        <f t="shared" si="1"/>
        <v>12.520287062999994</v>
      </c>
      <c r="F21" s="15">
        <f t="shared" si="1"/>
        <v>18.694458462608999</v>
      </c>
      <c r="G21" s="15">
        <f t="shared" si="1"/>
        <v>15.412199252674892</v>
      </c>
      <c r="H21" s="15">
        <f t="shared" si="1"/>
        <v>21.486384343667488</v>
      </c>
      <c r="I21" s="15">
        <f t="shared" si="1"/>
        <v>18.169829829877941</v>
      </c>
      <c r="J21" s="15">
        <f t="shared" si="1"/>
        <v>24.232251631648133</v>
      </c>
      <c r="K21" s="15">
        <f t="shared" si="1"/>
        <v>20.911662309655306</v>
      </c>
      <c r="L21" s="15">
        <f t="shared" si="1"/>
        <v>26.972700172211766</v>
      </c>
      <c r="M21" s="15">
        <f t="shared" si="1"/>
        <v>23.65163615906863</v>
      </c>
    </row>
    <row r="22" spans="1:13" ht="15" customHeight="1" x14ac:dyDescent="0.3">
      <c r="A22" s="4" t="s">
        <v>100</v>
      </c>
      <c r="B22" s="15">
        <f>B16*Assumptions!$C$25/100000</f>
        <v>7.5</v>
      </c>
      <c r="C22" s="15">
        <f>C16*Assumptions!$C$25/100000</f>
        <v>4.5</v>
      </c>
      <c r="D22" s="15">
        <f>D16*Assumptions!$C$25/100000</f>
        <v>10.5</v>
      </c>
      <c r="E22" s="15">
        <f>E16*Assumptions!$C$25/100000</f>
        <v>6</v>
      </c>
      <c r="F22" s="15">
        <f>F16*Assumptions!$C$25/100000</f>
        <v>12</v>
      </c>
      <c r="G22" s="15">
        <f>G16*Assumptions!$C$25/100000</f>
        <v>7.5</v>
      </c>
      <c r="H22" s="15">
        <f>H16*Assumptions!$C$25/100000</f>
        <v>13.5</v>
      </c>
      <c r="I22" s="15">
        <f>I16*Assumptions!$C$25/100000</f>
        <v>9</v>
      </c>
      <c r="J22" s="15">
        <f>J16*Assumptions!$C$25/100000</f>
        <v>15</v>
      </c>
      <c r="K22" s="15">
        <f>K16*Assumptions!$C$25/100000</f>
        <v>10.5</v>
      </c>
      <c r="L22" s="15">
        <f>L16*Assumptions!$C$25/100000</f>
        <v>16.5</v>
      </c>
      <c r="M22" s="15">
        <f>M16*Assumptions!$C$25/100000</f>
        <v>12</v>
      </c>
    </row>
    <row r="24" spans="1:13" ht="18" customHeight="1" x14ac:dyDescent="0.3">
      <c r="A24" s="35" t="s">
        <v>102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 spans="1:13" ht="15" customHeight="1" x14ac:dyDescent="0.3">
      <c r="A25" s="4" t="s">
        <v>94</v>
      </c>
      <c r="B25" s="8">
        <v>1000</v>
      </c>
      <c r="C25" s="8">
        <v>1500</v>
      </c>
      <c r="D25" s="8">
        <v>2000</v>
      </c>
      <c r="E25" s="8">
        <v>2500</v>
      </c>
      <c r="F25" s="8">
        <v>3000</v>
      </c>
      <c r="G25" s="8">
        <v>3500</v>
      </c>
      <c r="H25" s="8">
        <v>4000</v>
      </c>
      <c r="I25" s="8">
        <v>4500</v>
      </c>
      <c r="J25" s="8">
        <v>5000</v>
      </c>
      <c r="K25" s="8">
        <v>5500</v>
      </c>
      <c r="L25" s="8">
        <v>6000</v>
      </c>
      <c r="M25" s="8">
        <v>6500</v>
      </c>
    </row>
    <row r="26" spans="1:13" ht="15" customHeight="1" x14ac:dyDescent="0.3">
      <c r="A26" s="4" t="s">
        <v>95</v>
      </c>
      <c r="B26" s="20">
        <f>B25</f>
        <v>1000</v>
      </c>
      <c r="C26" s="20">
        <f>B26*Assumptions!$D$24+C25</f>
        <v>1625</v>
      </c>
      <c r="D26" s="20">
        <f>C26*Assumptions!$D$24+D25</f>
        <v>2203.125</v>
      </c>
      <c r="E26" s="20">
        <f>D26*Assumptions!$D$24+E25</f>
        <v>2775.390625</v>
      </c>
      <c r="F26" s="20">
        <f>E26*Assumptions!$D$24+F25</f>
        <v>3346.923828125</v>
      </c>
      <c r="G26" s="20">
        <f>F26*Assumptions!$D$24+G25</f>
        <v>3918.365478515625</v>
      </c>
      <c r="H26" s="20">
        <f>G26*Assumptions!$D$24+H25</f>
        <v>4489.7956848144531</v>
      </c>
      <c r="I26" s="20">
        <f>H26*Assumptions!$D$24+I25</f>
        <v>5061.2244606018066</v>
      </c>
      <c r="J26" s="20">
        <f>I26*Assumptions!$D$24+J25</f>
        <v>5632.6530575752258</v>
      </c>
      <c r="K26" s="20">
        <f>J26*Assumptions!$D$24+K25</f>
        <v>6204.0816321969032</v>
      </c>
      <c r="L26" s="20">
        <f>K26*Assumptions!$D$24+L25</f>
        <v>6775.5102040246129</v>
      </c>
      <c r="M26" s="20">
        <f>L26*Assumptions!$D$24+M25</f>
        <v>7346.9387755030766</v>
      </c>
    </row>
    <row r="27" spans="1:13" ht="15" customHeight="1" x14ac:dyDescent="0.3">
      <c r="A27" s="4" t="s">
        <v>96</v>
      </c>
      <c r="B27" s="20">
        <f>B26*Assumptions!$D$17*3</f>
        <v>2400</v>
      </c>
      <c r="C27" s="20">
        <f>C26*Assumptions!$D$17*3</f>
        <v>3900</v>
      </c>
      <c r="D27" s="20">
        <f>D26*Assumptions!$D$17*3</f>
        <v>5287.5</v>
      </c>
      <c r="E27" s="20">
        <f>E26*Assumptions!$D$17*3</f>
        <v>6660.9375</v>
      </c>
      <c r="F27" s="20">
        <f>F26*Assumptions!$D$17*3</f>
        <v>8032.6171875</v>
      </c>
      <c r="G27" s="20">
        <f>G26*Assumptions!$D$17*3</f>
        <v>9404.0771484375</v>
      </c>
      <c r="H27" s="20">
        <f>H26*Assumptions!$D$17*3</f>
        <v>10775.509643554688</v>
      </c>
      <c r="I27" s="20">
        <f>I26*Assumptions!$D$17*3</f>
        <v>12146.938705444336</v>
      </c>
      <c r="J27" s="20">
        <f>J26*Assumptions!$D$17*3</f>
        <v>13518.367338180542</v>
      </c>
      <c r="K27" s="20">
        <f>K26*Assumptions!$D$17*3</f>
        <v>14889.795917272568</v>
      </c>
      <c r="L27" s="20">
        <f>L26*Assumptions!$D$17*3</f>
        <v>16261.224489659071</v>
      </c>
      <c r="M27" s="20">
        <f>M26*Assumptions!$D$17*3</f>
        <v>17632.653061207384</v>
      </c>
    </row>
    <row r="28" spans="1:13" ht="15" customHeight="1" x14ac:dyDescent="0.3">
      <c r="A28" s="4" t="s">
        <v>97</v>
      </c>
      <c r="B28" s="15">
        <f>B27*Assumptions!$D$18/100000</f>
        <v>2.2799999999999998</v>
      </c>
      <c r="C28" s="15">
        <f>C27*Assumptions!$D$18/100000</f>
        <v>3.7050000000000001</v>
      </c>
      <c r="D28" s="15">
        <f>D27*Assumptions!$D$18/100000</f>
        <v>5.0231250000000003</v>
      </c>
      <c r="E28" s="15">
        <f>E27*Assumptions!$D$18/100000</f>
        <v>6.3278906250000002</v>
      </c>
      <c r="F28" s="15">
        <f>F27*Assumptions!$D$18/100000</f>
        <v>7.6309863281250001</v>
      </c>
      <c r="G28" s="15">
        <f>G27*Assumptions!$D$18/100000</f>
        <v>8.9338732910156242</v>
      </c>
      <c r="H28" s="15">
        <f>H27*Assumptions!$D$18/100000</f>
        <v>10.236734161376953</v>
      </c>
      <c r="I28" s="15">
        <f>I27*Assumptions!$D$18/100000</f>
        <v>11.53959177017212</v>
      </c>
      <c r="J28" s="15">
        <f>J27*Assumptions!$D$18/100000</f>
        <v>12.842448971271516</v>
      </c>
      <c r="K28" s="15">
        <f>K27*Assumptions!$D$18/100000</f>
        <v>14.14530612140894</v>
      </c>
      <c r="L28" s="15">
        <f>L27*Assumptions!$D$18/100000</f>
        <v>15.448163265176117</v>
      </c>
      <c r="M28" s="15">
        <f>M27*Assumptions!$D$18/100000</f>
        <v>16.751020408147014</v>
      </c>
    </row>
    <row r="29" spans="1:13" ht="15" customHeight="1" x14ac:dyDescent="0.3">
      <c r="A29" s="4" t="s">
        <v>98</v>
      </c>
      <c r="B29" s="15">
        <f>B27*Assumptions!$D$19/100000</f>
        <v>1.6319999999999999</v>
      </c>
      <c r="C29" s="15">
        <f>C27*Assumptions!$D$19/100000</f>
        <v>2.6520000000000001</v>
      </c>
      <c r="D29" s="15">
        <f>D27*Assumptions!$D$19/100000</f>
        <v>3.5954999999999999</v>
      </c>
      <c r="E29" s="15">
        <f>E27*Assumptions!$D$19/100000</f>
        <v>4.5294375000000002</v>
      </c>
      <c r="F29" s="15">
        <f>F27*Assumptions!$D$19/100000</f>
        <v>5.4621796874999999</v>
      </c>
      <c r="G29" s="15">
        <f>G27*Assumptions!$D$19/100000</f>
        <v>6.3947724609375003</v>
      </c>
      <c r="H29" s="15">
        <f>H27*Assumptions!$D$19/100000</f>
        <v>7.3273465576171875</v>
      </c>
      <c r="I29" s="15">
        <f>I27*Assumptions!$D$19/100000</f>
        <v>8.2599183197021482</v>
      </c>
      <c r="J29" s="15">
        <f>J27*Assumptions!$D$19/100000</f>
        <v>9.1924897899627691</v>
      </c>
      <c r="K29" s="15">
        <f>K27*Assumptions!$D$19/100000</f>
        <v>10.125061223745346</v>
      </c>
      <c r="L29" s="15">
        <f>L27*Assumptions!$D$19/100000</f>
        <v>11.057632652968168</v>
      </c>
      <c r="M29" s="15">
        <f>M27*Assumptions!$D$19/100000</f>
        <v>11.990204081621021</v>
      </c>
    </row>
    <row r="30" spans="1:13" ht="15" customHeight="1" x14ac:dyDescent="0.3">
      <c r="A30" s="4" t="s">
        <v>99</v>
      </c>
      <c r="B30" s="15">
        <f t="shared" ref="B30:M30" si="2">B28-B29</f>
        <v>0.64799999999999991</v>
      </c>
      <c r="C30" s="15">
        <f t="shared" si="2"/>
        <v>1.0529999999999999</v>
      </c>
      <c r="D30" s="15">
        <f t="shared" si="2"/>
        <v>1.4276250000000004</v>
      </c>
      <c r="E30" s="15">
        <f t="shared" si="2"/>
        <v>1.798453125</v>
      </c>
      <c r="F30" s="15">
        <f t="shared" si="2"/>
        <v>2.1688066406250002</v>
      </c>
      <c r="G30" s="15">
        <f t="shared" si="2"/>
        <v>2.5391008300781239</v>
      </c>
      <c r="H30" s="15">
        <f t="shared" si="2"/>
        <v>2.9093876037597655</v>
      </c>
      <c r="I30" s="15">
        <f t="shared" si="2"/>
        <v>3.2796734504699714</v>
      </c>
      <c r="J30" s="15">
        <f t="shared" si="2"/>
        <v>3.6499591813087466</v>
      </c>
      <c r="K30" s="15">
        <f t="shared" si="2"/>
        <v>4.0202448976635932</v>
      </c>
      <c r="L30" s="15">
        <f t="shared" si="2"/>
        <v>4.3905306122079484</v>
      </c>
      <c r="M30" s="15">
        <f t="shared" si="2"/>
        <v>4.7608163265259922</v>
      </c>
    </row>
    <row r="31" spans="1:13" ht="15" customHeight="1" x14ac:dyDescent="0.3">
      <c r="A31" s="4" t="s">
        <v>100</v>
      </c>
      <c r="B31" s="15">
        <f>B25*Assumptions!$D$25/100000</f>
        <v>2.2000000000000002</v>
      </c>
      <c r="C31" s="15">
        <f>C25*Assumptions!$D$25/100000</f>
        <v>3.3</v>
      </c>
      <c r="D31" s="15">
        <f>D25*Assumptions!$D$25/100000</f>
        <v>4.4000000000000004</v>
      </c>
      <c r="E31" s="15">
        <f>E25*Assumptions!$D$25/100000</f>
        <v>5.5</v>
      </c>
      <c r="F31" s="15">
        <f>F25*Assumptions!$D$25/100000</f>
        <v>6.6</v>
      </c>
      <c r="G31" s="15">
        <f>G25*Assumptions!$D$25/100000</f>
        <v>7.7</v>
      </c>
      <c r="H31" s="15">
        <f>H25*Assumptions!$D$25/100000</f>
        <v>8.8000000000000007</v>
      </c>
      <c r="I31" s="15">
        <f>I25*Assumptions!$D$25/100000</f>
        <v>9.9</v>
      </c>
      <c r="J31" s="15">
        <f>J25*Assumptions!$D$25/100000</f>
        <v>11</v>
      </c>
      <c r="K31" s="15">
        <f>K25*Assumptions!$D$25/100000</f>
        <v>12.1</v>
      </c>
      <c r="L31" s="15">
        <f>L25*Assumptions!$D$25/100000</f>
        <v>13.2</v>
      </c>
      <c r="M31" s="15">
        <f>M25*Assumptions!$D$25/100000</f>
        <v>14.3</v>
      </c>
    </row>
    <row r="33" spans="1:13" ht="18" customHeight="1" x14ac:dyDescent="0.3">
      <c r="A33" s="35" t="s">
        <v>103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1:13" ht="15" customHeight="1" x14ac:dyDescent="0.3">
      <c r="A34" s="2" t="s">
        <v>104</v>
      </c>
      <c r="B34" s="22">
        <f t="shared" ref="B34:M34" si="3">B7+B16+B25</f>
        <v>9000</v>
      </c>
      <c r="C34" s="22">
        <f t="shared" si="3"/>
        <v>10500</v>
      </c>
      <c r="D34" s="22">
        <f t="shared" si="3"/>
        <v>18000</v>
      </c>
      <c r="E34" s="22">
        <f t="shared" si="3"/>
        <v>18500</v>
      </c>
      <c r="F34" s="22">
        <f t="shared" si="3"/>
        <v>26000</v>
      </c>
      <c r="G34" s="22">
        <f t="shared" si="3"/>
        <v>24500</v>
      </c>
      <c r="H34" s="22">
        <f t="shared" si="3"/>
        <v>30000</v>
      </c>
      <c r="I34" s="22">
        <f t="shared" si="3"/>
        <v>28500</v>
      </c>
      <c r="J34" s="22">
        <f t="shared" si="3"/>
        <v>34000</v>
      </c>
      <c r="K34" s="22">
        <f t="shared" si="3"/>
        <v>32500</v>
      </c>
      <c r="L34" s="22">
        <f t="shared" si="3"/>
        <v>38000</v>
      </c>
      <c r="M34" s="22">
        <f t="shared" si="3"/>
        <v>36500</v>
      </c>
    </row>
    <row r="35" spans="1:13" ht="15" customHeight="1" x14ac:dyDescent="0.3">
      <c r="A35" s="2" t="s">
        <v>95</v>
      </c>
      <c r="B35" s="22">
        <f t="shared" ref="B35:M35" si="4">B8+B17+B26</f>
        <v>9000</v>
      </c>
      <c r="C35" s="22">
        <f t="shared" si="4"/>
        <v>14527</v>
      </c>
      <c r="D35" s="22">
        <f t="shared" si="4"/>
        <v>25788.692999999999</v>
      </c>
      <c r="E35" s="22">
        <f t="shared" si="4"/>
        <v>32643.013126999998</v>
      </c>
      <c r="F35" s="22">
        <f t="shared" si="4"/>
        <v>45435.514628573001</v>
      </c>
      <c r="G35" s="22">
        <f t="shared" si="4"/>
        <v>51592.025412838288</v>
      </c>
      <c r="H35" s="22">
        <f t="shared" si="4"/>
        <v>61938.833270528725</v>
      </c>
      <c r="I35" s="22">
        <f t="shared" si="4"/>
        <v>66333.937106889935</v>
      </c>
      <c r="J35" s="22">
        <f t="shared" si="4"/>
        <v>75404.041513201009</v>
      </c>
      <c r="K35" s="22">
        <f t="shared" si="4"/>
        <v>78870.952077561335</v>
      </c>
      <c r="L35" s="22">
        <f t="shared" si="4"/>
        <v>87265.26895229143</v>
      </c>
      <c r="M35" s="22">
        <f t="shared" si="4"/>
        <v>90239.827199393054</v>
      </c>
    </row>
    <row r="36" spans="1:13" ht="15" customHeight="1" x14ac:dyDescent="0.3">
      <c r="A36" s="2" t="s">
        <v>96</v>
      </c>
      <c r="B36" s="22">
        <f t="shared" ref="B36:M36" si="5">B9+B18+B27</f>
        <v>140400</v>
      </c>
      <c r="C36" s="22">
        <f t="shared" si="5"/>
        <v>326922</v>
      </c>
      <c r="D36" s="22">
        <f t="shared" si="5"/>
        <v>595850.598</v>
      </c>
      <c r="E36" s="22">
        <f t="shared" si="5"/>
        <v>873223.89652200008</v>
      </c>
      <c r="F36" s="22">
        <f t="shared" si="5"/>
        <v>1211647.5782934779</v>
      </c>
      <c r="G36" s="22">
        <f t="shared" si="5"/>
        <v>1468785.847239472</v>
      </c>
      <c r="H36" s="22">
        <f t="shared" si="5"/>
        <v>1720834.4570014772</v>
      </c>
      <c r="I36" s="22">
        <f t="shared" si="5"/>
        <v>1915134.0968071846</v>
      </c>
      <c r="J36" s="22">
        <f t="shared" si="5"/>
        <v>2121417.4912132397</v>
      </c>
      <c r="K36" s="22">
        <f t="shared" si="5"/>
        <v>2282369.42678947</v>
      </c>
      <c r="L36" s="22">
        <f t="shared" si="5"/>
        <v>2464347.5365570681</v>
      </c>
      <c r="M36" s="22">
        <f t="shared" si="5"/>
        <v>2607582.7003367697</v>
      </c>
    </row>
    <row r="37" spans="1:13" ht="15" customHeight="1" x14ac:dyDescent="0.3">
      <c r="A37" s="2" t="s">
        <v>97</v>
      </c>
      <c r="B37" s="23">
        <f t="shared" ref="B37:M37" si="6">B10+B19+B28</f>
        <v>103.38</v>
      </c>
      <c r="C37" s="23">
        <f t="shared" si="6"/>
        <v>234.06390000000002</v>
      </c>
      <c r="D37" s="23">
        <f t="shared" si="6"/>
        <v>426.17281409999998</v>
      </c>
      <c r="E37" s="23">
        <f t="shared" si="6"/>
        <v>619.18210547190006</v>
      </c>
      <c r="F37" s="23">
        <f t="shared" si="6"/>
        <v>859.50868833361415</v>
      </c>
      <c r="G37" s="23">
        <f t="shared" si="6"/>
        <v>1038.2072119810771</v>
      </c>
      <c r="H37" s="23">
        <f t="shared" si="6"/>
        <v>1218.0211894837566</v>
      </c>
      <c r="I37" s="23">
        <f t="shared" si="6"/>
        <v>1352.7155173563294</v>
      </c>
      <c r="J37" s="23">
        <f t="shared" si="6"/>
        <v>1500.4879614996371</v>
      </c>
      <c r="K37" s="23">
        <f t="shared" si="6"/>
        <v>1611.8368788867749</v>
      </c>
      <c r="L37" s="23">
        <f t="shared" si="6"/>
        <v>1742.5949317984685</v>
      </c>
      <c r="M37" s="23">
        <f t="shared" si="6"/>
        <v>1841.5418715805749</v>
      </c>
    </row>
    <row r="38" spans="1:13" ht="15" customHeight="1" x14ac:dyDescent="0.3">
      <c r="A38" s="2" t="s">
        <v>98</v>
      </c>
      <c r="B38" s="23">
        <f t="shared" ref="B38:M38" si="7">B11+B20+B29</f>
        <v>69.972000000000008</v>
      </c>
      <c r="C38" s="23">
        <f t="shared" si="7"/>
        <v>159.68286000000001</v>
      </c>
      <c r="D38" s="23">
        <f t="shared" si="7"/>
        <v>290.68502994000005</v>
      </c>
      <c r="E38" s="23">
        <f t="shared" si="7"/>
        <v>423.40105814525998</v>
      </c>
      <c r="F38" s="23">
        <f t="shared" si="7"/>
        <v>587.55940132631144</v>
      </c>
      <c r="G38" s="23">
        <f t="shared" si="7"/>
        <v>710.4942019302581</v>
      </c>
      <c r="H38" s="23">
        <f t="shared" si="7"/>
        <v>833.16913096960911</v>
      </c>
      <c r="I38" s="23">
        <f t="shared" si="7"/>
        <v>925.9333811688424</v>
      </c>
      <c r="J38" s="23">
        <f t="shared" si="7"/>
        <v>1026.6382612973757</v>
      </c>
      <c r="K38" s="23">
        <f t="shared" si="7"/>
        <v>1103.3946719146529</v>
      </c>
      <c r="L38" s="23">
        <f t="shared" si="7"/>
        <v>1192.432692485507</v>
      </c>
      <c r="M38" s="23">
        <f t="shared" si="7"/>
        <v>1260.6849418776735</v>
      </c>
    </row>
    <row r="39" spans="1:13" ht="15" customHeight="1" x14ac:dyDescent="0.3">
      <c r="A39" s="2" t="s">
        <v>99</v>
      </c>
      <c r="B39" s="23">
        <f t="shared" ref="B39:M39" si="8">B12+B21+B30</f>
        <v>33.407999999999994</v>
      </c>
      <c r="C39" s="23">
        <f t="shared" si="8"/>
        <v>74.381039999999985</v>
      </c>
      <c r="D39" s="23">
        <f t="shared" si="8"/>
        <v>135.48778415999999</v>
      </c>
      <c r="E39" s="23">
        <f t="shared" si="8"/>
        <v>195.78104732664002</v>
      </c>
      <c r="F39" s="23">
        <f t="shared" si="8"/>
        <v>271.94928700730264</v>
      </c>
      <c r="G39" s="23">
        <f t="shared" si="8"/>
        <v>327.71301005081904</v>
      </c>
      <c r="H39" s="23">
        <f t="shared" si="8"/>
        <v>384.85205851414747</v>
      </c>
      <c r="I39" s="23">
        <f t="shared" si="8"/>
        <v>426.78213618748703</v>
      </c>
      <c r="J39" s="23">
        <f t="shared" si="8"/>
        <v>473.84970020226132</v>
      </c>
      <c r="K39" s="23">
        <f t="shared" si="8"/>
        <v>508.44220697212188</v>
      </c>
      <c r="L39" s="23">
        <f t="shared" si="8"/>
        <v>550.16223931296111</v>
      </c>
      <c r="M39" s="23">
        <f t="shared" si="8"/>
        <v>580.85692970290131</v>
      </c>
    </row>
    <row r="40" spans="1:13" ht="15" customHeight="1" x14ac:dyDescent="0.3">
      <c r="A40" s="2" t="s">
        <v>100</v>
      </c>
      <c r="B40" s="23">
        <f t="shared" ref="B40:M40" si="9">B13+B22+B31</f>
        <v>20.2</v>
      </c>
      <c r="C40" s="23">
        <f t="shared" si="9"/>
        <v>28.8</v>
      </c>
      <c r="D40" s="23">
        <f t="shared" si="9"/>
        <v>46.4</v>
      </c>
      <c r="E40" s="23">
        <f t="shared" si="9"/>
        <v>53.5</v>
      </c>
      <c r="F40" s="23">
        <f t="shared" si="9"/>
        <v>71.099999999999994</v>
      </c>
      <c r="G40" s="23">
        <f t="shared" si="9"/>
        <v>71.2</v>
      </c>
      <c r="H40" s="23">
        <f t="shared" si="9"/>
        <v>81.8</v>
      </c>
      <c r="I40" s="23">
        <f t="shared" si="9"/>
        <v>81.900000000000006</v>
      </c>
      <c r="J40" s="23">
        <f t="shared" si="9"/>
        <v>92.5</v>
      </c>
      <c r="K40" s="23">
        <f t="shared" si="9"/>
        <v>92.6</v>
      </c>
      <c r="L40" s="23">
        <f t="shared" si="9"/>
        <v>103.2</v>
      </c>
      <c r="M40" s="23">
        <f t="shared" si="9"/>
        <v>103.3</v>
      </c>
    </row>
  </sheetData>
  <mergeCells count="9">
    <mergeCell ref="A6:M6"/>
    <mergeCell ref="A15:M15"/>
    <mergeCell ref="A24:M24"/>
    <mergeCell ref="A33:M33"/>
    <mergeCell ref="A1:M1"/>
    <mergeCell ref="A2:M2"/>
    <mergeCell ref="B3:E3"/>
    <mergeCell ref="F3:I3"/>
    <mergeCell ref="J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432E"/>
  </sheetPr>
  <dimension ref="A1:Q21"/>
  <sheetViews>
    <sheetView showGridLines="0" zoomScaleNormal="100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C22" sqref="C22"/>
    </sheetView>
  </sheetViews>
  <sheetFormatPr defaultColWidth="8.6640625" defaultRowHeight="14.4" x14ac:dyDescent="0.3"/>
  <cols>
    <col min="1" max="1" width="42" customWidth="1"/>
    <col min="2" max="13" width="10" customWidth="1"/>
    <col min="14" max="14" width="4" customWidth="1"/>
    <col min="15" max="17" width="12" customWidth="1"/>
  </cols>
  <sheetData>
    <row r="1" spans="1:17" ht="24" customHeight="1" x14ac:dyDescent="0.4">
      <c r="A1" s="33" t="s">
        <v>180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7" ht="15" customHeight="1" x14ac:dyDescent="0.3">
      <c r="A2" s="34" t="s">
        <v>105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7" ht="6" customHeight="1" x14ac:dyDescent="0.3">
      <c r="B3" s="39" t="s">
        <v>106</v>
      </c>
      <c r="C3" s="39"/>
      <c r="D3" s="39"/>
      <c r="E3" s="39"/>
      <c r="F3" s="39" t="s">
        <v>49</v>
      </c>
      <c r="G3" s="39"/>
      <c r="H3" s="39"/>
      <c r="I3" s="39"/>
      <c r="J3" s="39" t="s">
        <v>50</v>
      </c>
      <c r="K3" s="39"/>
      <c r="L3" s="39"/>
      <c r="M3" s="39"/>
    </row>
    <row r="4" spans="1:17" ht="15" customHeight="1" x14ac:dyDescent="0.3">
      <c r="A4" s="21" t="s">
        <v>33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  <c r="G4" s="7" t="s">
        <v>86</v>
      </c>
      <c r="H4" s="7" t="s">
        <v>87</v>
      </c>
      <c r="I4" s="7" t="s">
        <v>88</v>
      </c>
      <c r="J4" s="7" t="s">
        <v>89</v>
      </c>
      <c r="K4" s="7" t="s">
        <v>90</v>
      </c>
      <c r="L4" s="7" t="s">
        <v>91</v>
      </c>
      <c r="M4" s="7" t="s">
        <v>92</v>
      </c>
      <c r="O4" s="24" t="s">
        <v>107</v>
      </c>
      <c r="P4" s="24" t="s">
        <v>108</v>
      </c>
      <c r="Q4" s="24" t="s">
        <v>109</v>
      </c>
    </row>
    <row r="6" spans="1:17" ht="15" customHeight="1" x14ac:dyDescent="0.3">
      <c r="A6" s="2" t="s">
        <v>97</v>
      </c>
      <c r="B6" s="25">
        <f>Volume_Build!B37</f>
        <v>103.38</v>
      </c>
      <c r="C6" s="25">
        <f>Volume_Build!C37</f>
        <v>234.06390000000002</v>
      </c>
      <c r="D6" s="25">
        <f>Volume_Build!D37</f>
        <v>426.17281409999998</v>
      </c>
      <c r="E6" s="25">
        <f>Volume_Build!E37</f>
        <v>619.18210547190006</v>
      </c>
      <c r="F6" s="25">
        <f>Volume_Build!F37</f>
        <v>859.50868833361415</v>
      </c>
      <c r="G6" s="25">
        <f>Volume_Build!G37</f>
        <v>1038.2072119810771</v>
      </c>
      <c r="H6" s="25">
        <f>Volume_Build!H37</f>
        <v>1218.0211894837566</v>
      </c>
      <c r="I6" s="25">
        <f>Volume_Build!I37</f>
        <v>1352.7155173563294</v>
      </c>
      <c r="J6" s="25">
        <f>Volume_Build!J37</f>
        <v>1500.4879614996371</v>
      </c>
      <c r="K6" s="25">
        <f>Volume_Build!K37</f>
        <v>1611.8368788867749</v>
      </c>
      <c r="L6" s="25">
        <f>Volume_Build!L37</f>
        <v>1742.5949317984685</v>
      </c>
      <c r="M6" s="25">
        <f>Volume_Build!M37</f>
        <v>1841.5418715805749</v>
      </c>
      <c r="O6" s="23">
        <f>SUM(B6:E6)</f>
        <v>1382.7988195718999</v>
      </c>
      <c r="P6" s="23">
        <f>SUM(F6:I6)</f>
        <v>4468.4526071547771</v>
      </c>
      <c r="Q6" s="23">
        <f>SUM(J6:M6)</f>
        <v>6696.4616437654549</v>
      </c>
    </row>
    <row r="7" spans="1:17" ht="15" customHeight="1" x14ac:dyDescent="0.3">
      <c r="A7" s="4" t="s">
        <v>98</v>
      </c>
      <c r="B7" s="25">
        <f>Volume_Build!B38</f>
        <v>69.972000000000008</v>
      </c>
      <c r="C7" s="25">
        <f>Volume_Build!C38</f>
        <v>159.68286000000001</v>
      </c>
      <c r="D7" s="25">
        <f>Volume_Build!D38</f>
        <v>290.68502994000005</v>
      </c>
      <c r="E7" s="25">
        <f>Volume_Build!E38</f>
        <v>423.40105814525998</v>
      </c>
      <c r="F7" s="25">
        <f>Volume_Build!F38</f>
        <v>587.55940132631144</v>
      </c>
      <c r="G7" s="25">
        <f>Volume_Build!G38</f>
        <v>710.4942019302581</v>
      </c>
      <c r="H7" s="25">
        <f>Volume_Build!H38</f>
        <v>833.16913096960911</v>
      </c>
      <c r="I7" s="25">
        <f>Volume_Build!I38</f>
        <v>925.9333811688424</v>
      </c>
      <c r="J7" s="25">
        <f>Volume_Build!J38</f>
        <v>1026.6382612973757</v>
      </c>
      <c r="K7" s="25">
        <f>Volume_Build!K38</f>
        <v>1103.3946719146529</v>
      </c>
      <c r="L7" s="25">
        <f>Volume_Build!L38</f>
        <v>1192.432692485507</v>
      </c>
      <c r="M7" s="25">
        <f>Volume_Build!M38</f>
        <v>1260.6849418776735</v>
      </c>
      <c r="O7" s="15">
        <f>SUM(B7:E7)</f>
        <v>943.74094808526002</v>
      </c>
      <c r="P7" s="15">
        <f>SUM(F7:I7)</f>
        <v>3057.1561153950211</v>
      </c>
      <c r="Q7" s="15">
        <f>SUM(J7:M7)</f>
        <v>4583.1505675752096</v>
      </c>
    </row>
    <row r="8" spans="1:17" ht="15" customHeight="1" x14ac:dyDescent="0.3">
      <c r="A8" s="2" t="s">
        <v>110</v>
      </c>
      <c r="B8" s="23">
        <f t="shared" ref="B8:M8" si="0">B6-B7</f>
        <v>33.407999999999987</v>
      </c>
      <c r="C8" s="23">
        <f t="shared" si="0"/>
        <v>74.381040000000013</v>
      </c>
      <c r="D8" s="23">
        <f t="shared" si="0"/>
        <v>135.48778415999993</v>
      </c>
      <c r="E8" s="23">
        <f t="shared" si="0"/>
        <v>195.78104732664008</v>
      </c>
      <c r="F8" s="23">
        <f t="shared" si="0"/>
        <v>271.9492870073027</v>
      </c>
      <c r="G8" s="23">
        <f t="shared" si="0"/>
        <v>327.71301005081898</v>
      </c>
      <c r="H8" s="23">
        <f t="shared" si="0"/>
        <v>384.85205851414753</v>
      </c>
      <c r="I8" s="23">
        <f t="shared" si="0"/>
        <v>426.78213618748703</v>
      </c>
      <c r="J8" s="23">
        <f t="shared" si="0"/>
        <v>473.84970020226137</v>
      </c>
      <c r="K8" s="23">
        <f t="shared" si="0"/>
        <v>508.44220697212199</v>
      </c>
      <c r="L8" s="23">
        <f t="shared" si="0"/>
        <v>550.16223931296145</v>
      </c>
      <c r="M8" s="23">
        <f t="shared" si="0"/>
        <v>580.85692970290143</v>
      </c>
      <c r="O8" s="23">
        <f>SUM(B8:E8)</f>
        <v>439.05787148664001</v>
      </c>
      <c r="P8" s="23">
        <f>SUM(F8:I8)</f>
        <v>1411.2964917597562</v>
      </c>
      <c r="Q8" s="23">
        <f>SUM(J8:M8)</f>
        <v>2113.3110761902462</v>
      </c>
    </row>
    <row r="9" spans="1:17" ht="15" customHeight="1" x14ac:dyDescent="0.3">
      <c r="A9" s="4" t="s">
        <v>111</v>
      </c>
      <c r="B9" s="15">
        <f>B6*Assumptions!$B$36</f>
        <v>1.2405599999999999</v>
      </c>
      <c r="C9" s="15">
        <f>C6*Assumptions!$B$36</f>
        <v>2.8087668000000003</v>
      </c>
      <c r="D9" s="15">
        <f>D6*Assumptions!$B$36</f>
        <v>5.1140737692</v>
      </c>
      <c r="E9" s="15">
        <f>E6*Assumptions!$B$36</f>
        <v>7.4301852656628009</v>
      </c>
      <c r="F9" s="15">
        <f>F6*Assumptions!$B$36</f>
        <v>10.31410426000337</v>
      </c>
      <c r="G9" s="15">
        <f>G6*Assumptions!$B$36</f>
        <v>12.458486543772926</v>
      </c>
      <c r="H9" s="15">
        <f>H6*Assumptions!$B$36</f>
        <v>14.61625427380508</v>
      </c>
      <c r="I9" s="15">
        <f>I6*Assumptions!$B$36</f>
        <v>16.232586208275954</v>
      </c>
      <c r="J9" s="15">
        <f>J6*Assumptions!$B$36</f>
        <v>18.005855537995647</v>
      </c>
      <c r="K9" s="15">
        <f>K6*Assumptions!$B$36</f>
        <v>19.342042546641299</v>
      </c>
      <c r="L9" s="15">
        <f>L6*Assumptions!$B$36</f>
        <v>20.911139181581621</v>
      </c>
      <c r="M9" s="15">
        <f>M6*Assumptions!$B$36</f>
        <v>22.098502458966898</v>
      </c>
      <c r="O9" s="15">
        <f>SUM(B9:E9)</f>
        <v>16.5935858348628</v>
      </c>
      <c r="P9" s="15">
        <f>SUM(F9:I9)</f>
        <v>53.621431285857334</v>
      </c>
      <c r="Q9" s="15">
        <f>SUM(J9:M9)</f>
        <v>80.357539725185461</v>
      </c>
    </row>
    <row r="10" spans="1:17" ht="15" customHeight="1" x14ac:dyDescent="0.3">
      <c r="A10" s="2" t="s">
        <v>112</v>
      </c>
      <c r="B10" s="23">
        <f t="shared" ref="B10:M10" si="1">B8+B9</f>
        <v>34.648559999999989</v>
      </c>
      <c r="C10" s="23">
        <f t="shared" si="1"/>
        <v>77.189806800000014</v>
      </c>
      <c r="D10" s="23">
        <f t="shared" si="1"/>
        <v>140.60185792919992</v>
      </c>
      <c r="E10" s="23">
        <f t="shared" si="1"/>
        <v>203.21123259230288</v>
      </c>
      <c r="F10" s="23">
        <f t="shared" si="1"/>
        <v>282.26339126730608</v>
      </c>
      <c r="G10" s="23">
        <f t="shared" si="1"/>
        <v>340.17149659459193</v>
      </c>
      <c r="H10" s="23">
        <f t="shared" si="1"/>
        <v>399.46831278795258</v>
      </c>
      <c r="I10" s="23">
        <f t="shared" si="1"/>
        <v>443.01472239576299</v>
      </c>
      <c r="J10" s="23">
        <f t="shared" si="1"/>
        <v>491.85555574025705</v>
      </c>
      <c r="K10" s="23">
        <f t="shared" si="1"/>
        <v>527.78424951876332</v>
      </c>
      <c r="L10" s="23">
        <f t="shared" si="1"/>
        <v>571.07337849454302</v>
      </c>
      <c r="M10" s="23">
        <f t="shared" si="1"/>
        <v>602.95543216186832</v>
      </c>
      <c r="O10" s="23">
        <f>SUM(B10:E10)</f>
        <v>455.65145732150279</v>
      </c>
      <c r="P10" s="23">
        <f>SUM(F10:I10)</f>
        <v>1464.9179230456134</v>
      </c>
      <c r="Q10" s="23">
        <f>SUM(J10:M10)</f>
        <v>2193.6686159154319</v>
      </c>
    </row>
    <row r="12" spans="1:17" ht="15" customHeight="1" x14ac:dyDescent="0.3">
      <c r="A12" s="4" t="s">
        <v>113</v>
      </c>
      <c r="B12" s="15">
        <f>Volume_Build!B40*(1-Assumptions!$B$37)</f>
        <v>17.776</v>
      </c>
      <c r="C12" s="15">
        <f>Volume_Build!C40*(1-Assumptions!$B$37)</f>
        <v>25.344000000000001</v>
      </c>
      <c r="D12" s="15">
        <f>Volume_Build!D40*(1-Assumptions!$B$37)</f>
        <v>40.832000000000001</v>
      </c>
      <c r="E12" s="15">
        <f>Volume_Build!E40*(1-Assumptions!$B$37)</f>
        <v>47.08</v>
      </c>
      <c r="F12" s="15">
        <f>Volume_Build!F40*(1-Assumptions!$B$37)</f>
        <v>62.567999999999998</v>
      </c>
      <c r="G12" s="15">
        <f>Volume_Build!G40*(1-Assumptions!$B$37)</f>
        <v>62.656000000000006</v>
      </c>
      <c r="H12" s="15">
        <f>Volume_Build!H40*(1-Assumptions!$B$37)</f>
        <v>71.983999999999995</v>
      </c>
      <c r="I12" s="15">
        <f>Volume_Build!I40*(1-Assumptions!$B$37)</f>
        <v>72.072000000000003</v>
      </c>
      <c r="J12" s="15">
        <f>Volume_Build!J40*(1-Assumptions!$B$37)</f>
        <v>81.400000000000006</v>
      </c>
      <c r="K12" s="15">
        <f>Volume_Build!K40*(1-Assumptions!$B$37)</f>
        <v>81.488</v>
      </c>
      <c r="L12" s="15">
        <f>Volume_Build!L40*(1-Assumptions!$B$37)</f>
        <v>90.816000000000003</v>
      </c>
      <c r="M12" s="15">
        <f>Volume_Build!M40*(1-Assumptions!$B$37)</f>
        <v>90.903999999999996</v>
      </c>
      <c r="O12" s="15">
        <f>SUM(B12:E12)</f>
        <v>131.03199999999998</v>
      </c>
      <c r="P12" s="15">
        <f>SUM(F12:I12)</f>
        <v>269.27999999999997</v>
      </c>
      <c r="Q12" s="15">
        <f>SUM(J12:M12)</f>
        <v>344.608</v>
      </c>
    </row>
    <row r="13" spans="1:17" ht="15" customHeight="1" x14ac:dyDescent="0.3">
      <c r="A13" s="4" t="s">
        <v>114</v>
      </c>
      <c r="B13" s="15">
        <f>Assumptions!$B$30</f>
        <v>25</v>
      </c>
      <c r="C13" s="15">
        <f>Assumptions!$B$30</f>
        <v>25</v>
      </c>
      <c r="D13" s="15">
        <f>Assumptions!$B$30</f>
        <v>25</v>
      </c>
      <c r="E13" s="15">
        <f>Assumptions!$B$30</f>
        <v>25</v>
      </c>
      <c r="F13" s="15">
        <f>Assumptions!$C$30</f>
        <v>40</v>
      </c>
      <c r="G13" s="15">
        <f>Assumptions!$C$30</f>
        <v>40</v>
      </c>
      <c r="H13" s="15">
        <f>Assumptions!$C$30</f>
        <v>40</v>
      </c>
      <c r="I13" s="15">
        <f>Assumptions!$C$30</f>
        <v>40</v>
      </c>
      <c r="J13" s="15">
        <f>Assumptions!$D$30</f>
        <v>55</v>
      </c>
      <c r="K13" s="15">
        <f>Assumptions!$D$30</f>
        <v>55</v>
      </c>
      <c r="L13" s="15">
        <f>Assumptions!$D$30</f>
        <v>55</v>
      </c>
      <c r="M13" s="15">
        <f>Assumptions!$D$30</f>
        <v>55</v>
      </c>
      <c r="O13" s="15">
        <f>SUM(B13:E13)</f>
        <v>100</v>
      </c>
      <c r="P13" s="15">
        <f>SUM(F13:I13)</f>
        <v>160</v>
      </c>
      <c r="Q13" s="15">
        <f>SUM(J13:M13)</f>
        <v>220</v>
      </c>
    </row>
    <row r="14" spans="1:17" ht="15" customHeight="1" x14ac:dyDescent="0.3">
      <c r="A14" s="4" t="s">
        <v>115</v>
      </c>
      <c r="B14" s="15">
        <f>Assumptions!$B$31</f>
        <v>30</v>
      </c>
      <c r="C14" s="15">
        <f>Assumptions!$B$31</f>
        <v>30</v>
      </c>
      <c r="D14" s="15">
        <f>Assumptions!$B$31</f>
        <v>30</v>
      </c>
      <c r="E14" s="15">
        <f>Assumptions!$B$31</f>
        <v>30</v>
      </c>
      <c r="F14" s="15">
        <f>Assumptions!$C$31</f>
        <v>55</v>
      </c>
      <c r="G14" s="15">
        <f>Assumptions!$C$31</f>
        <v>55</v>
      </c>
      <c r="H14" s="15">
        <f>Assumptions!$C$31</f>
        <v>55</v>
      </c>
      <c r="I14" s="15">
        <f>Assumptions!$C$31</f>
        <v>55</v>
      </c>
      <c r="J14" s="15">
        <f>Assumptions!$D$31</f>
        <v>85</v>
      </c>
      <c r="K14" s="15">
        <f>Assumptions!$D$31</f>
        <v>85</v>
      </c>
      <c r="L14" s="15">
        <f>Assumptions!$D$31</f>
        <v>85</v>
      </c>
      <c r="M14" s="15">
        <f>Assumptions!$D$31</f>
        <v>85</v>
      </c>
      <c r="O14" s="15">
        <f>SUM(B14:E14)</f>
        <v>120</v>
      </c>
      <c r="P14" s="15">
        <f>SUM(F14:I14)</f>
        <v>220</v>
      </c>
      <c r="Q14" s="15">
        <f>SUM(J14:M14)</f>
        <v>340</v>
      </c>
    </row>
    <row r="15" spans="1:17" ht="15" customHeight="1" x14ac:dyDescent="0.3">
      <c r="A15" s="2" t="s">
        <v>116</v>
      </c>
      <c r="B15" s="23">
        <f t="shared" ref="B15:M15" si="2">B10-B12-B13-B14</f>
        <v>-38.127440000000007</v>
      </c>
      <c r="C15" s="23">
        <f t="shared" si="2"/>
        <v>-3.1541931999999875</v>
      </c>
      <c r="D15" s="23">
        <f t="shared" si="2"/>
        <v>44.769857929199929</v>
      </c>
      <c r="E15" s="23">
        <f t="shared" si="2"/>
        <v>101.13123259230287</v>
      </c>
      <c r="F15" s="23">
        <f t="shared" si="2"/>
        <v>124.69539126730609</v>
      </c>
      <c r="G15" s="23">
        <f t="shared" si="2"/>
        <v>182.51549659459192</v>
      </c>
      <c r="H15" s="23">
        <f t="shared" si="2"/>
        <v>232.4843127879526</v>
      </c>
      <c r="I15" s="23">
        <f t="shared" si="2"/>
        <v>275.94272239576298</v>
      </c>
      <c r="J15" s="23">
        <f t="shared" si="2"/>
        <v>270.45555574025707</v>
      </c>
      <c r="K15" s="23">
        <f t="shared" si="2"/>
        <v>306.29624951876332</v>
      </c>
      <c r="L15" s="23">
        <f t="shared" si="2"/>
        <v>340.25737849454299</v>
      </c>
      <c r="M15" s="23">
        <f t="shared" si="2"/>
        <v>372.05143216186832</v>
      </c>
      <c r="O15" s="23">
        <f>SUM(B15:E15)</f>
        <v>104.61945732150281</v>
      </c>
      <c r="P15" s="23">
        <f>SUM(F15:I15)</f>
        <v>815.63792304561366</v>
      </c>
      <c r="Q15" s="23">
        <f>SUM(J15:M15)</f>
        <v>1289.0606159154318</v>
      </c>
    </row>
    <row r="16" spans="1:17" ht="15" customHeight="1" x14ac:dyDescent="0.3">
      <c r="A16" s="4" t="s">
        <v>117</v>
      </c>
      <c r="B16" s="10">
        <f t="shared" ref="B16:M16" si="3">B15/B6</f>
        <v>-0.36880866705358878</v>
      </c>
      <c r="C16" s="10">
        <f t="shared" si="3"/>
        <v>-1.347577819561234E-2</v>
      </c>
      <c r="D16" s="10">
        <f t="shared" si="3"/>
        <v>0.10505094752171319</v>
      </c>
      <c r="E16" s="10">
        <f t="shared" si="3"/>
        <v>0.16333035418590991</v>
      </c>
      <c r="F16" s="10">
        <f t="shared" si="3"/>
        <v>0.14507752272878269</v>
      </c>
      <c r="G16" s="10">
        <f t="shared" si="3"/>
        <v>0.17579871772063799</v>
      </c>
      <c r="H16" s="10">
        <f t="shared" si="3"/>
        <v>0.19087049945862455</v>
      </c>
      <c r="I16" s="10">
        <f t="shared" si="3"/>
        <v>0.20399168846310703</v>
      </c>
      <c r="J16" s="10">
        <f t="shared" si="3"/>
        <v>0.18024506872414683</v>
      </c>
      <c r="K16" s="10">
        <f t="shared" si="3"/>
        <v>0.19002930974647306</v>
      </c>
      <c r="L16" s="10">
        <f t="shared" si="3"/>
        <v>0.19525901991656536</v>
      </c>
      <c r="M16" s="10">
        <f t="shared" si="3"/>
        <v>0.20203256733040814</v>
      </c>
      <c r="O16" s="10">
        <f>O15/O6</f>
        <v>7.5657757181114671E-2</v>
      </c>
      <c r="P16" s="10">
        <f>P15/P6</f>
        <v>0.18253252182637769</v>
      </c>
      <c r="Q16" s="10">
        <f>Q15/Q6</f>
        <v>0.1924987679300118</v>
      </c>
    </row>
    <row r="17" spans="1:17" ht="15" customHeight="1" x14ac:dyDescent="0.3">
      <c r="A17" s="2" t="s">
        <v>118</v>
      </c>
      <c r="B17" s="23">
        <f>B15</f>
        <v>-38.127440000000007</v>
      </c>
      <c r="C17" s="23">
        <f t="shared" ref="C17:M17" si="4">B17+C15</f>
        <v>-41.281633199999995</v>
      </c>
      <c r="D17" s="23">
        <f t="shared" si="4"/>
        <v>3.4882247291999349</v>
      </c>
      <c r="E17" s="23">
        <f t="shared" si="4"/>
        <v>104.61945732150281</v>
      </c>
      <c r="F17" s="23">
        <f t="shared" si="4"/>
        <v>229.3148485888089</v>
      </c>
      <c r="G17" s="23">
        <f t="shared" si="4"/>
        <v>411.83034518340082</v>
      </c>
      <c r="H17" s="23">
        <f t="shared" si="4"/>
        <v>644.31465797135343</v>
      </c>
      <c r="I17" s="23">
        <f t="shared" si="4"/>
        <v>920.25738036711641</v>
      </c>
      <c r="J17" s="23">
        <f t="shared" si="4"/>
        <v>1190.7129361073735</v>
      </c>
      <c r="K17" s="23">
        <f t="shared" si="4"/>
        <v>1497.0091856261367</v>
      </c>
      <c r="L17" s="23">
        <f t="shared" si="4"/>
        <v>1837.2665641206797</v>
      </c>
      <c r="M17" s="23">
        <f t="shared" si="4"/>
        <v>2209.3179962825479</v>
      </c>
    </row>
    <row r="19" spans="1:17" ht="18" customHeight="1" x14ac:dyDescent="0.3">
      <c r="A19" s="35" t="s">
        <v>119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7" ht="15" customHeight="1" x14ac:dyDescent="0.3">
      <c r="A20" s="4" t="s">
        <v>120</v>
      </c>
      <c r="B20" s="15">
        <f>B8-Volume_Build!B40-B13-B14</f>
        <v>-41.792000000000016</v>
      </c>
      <c r="C20" s="15">
        <f>C8-Volume_Build!C40-C13-C14</f>
        <v>-9.4189599999999842</v>
      </c>
      <c r="D20" s="15">
        <f>D8-Volume_Build!D40-D13-D14</f>
        <v>34.087784159999927</v>
      </c>
      <c r="E20" s="15">
        <f>E8-Volume_Build!E40-E13-E14</f>
        <v>87.281047326640078</v>
      </c>
      <c r="F20" s="15">
        <f>F8-Volume_Build!F40-F13-F14</f>
        <v>105.84928700730271</v>
      </c>
      <c r="G20" s="15">
        <f>G8-Volume_Build!G40-G13-G14</f>
        <v>161.51301005081899</v>
      </c>
      <c r="H20" s="15">
        <f>H8-Volume_Build!H40-H13-H14</f>
        <v>208.05205851414752</v>
      </c>
      <c r="I20" s="15">
        <f>I8-Volume_Build!I40-I13-I14</f>
        <v>249.88213618748705</v>
      </c>
      <c r="J20" s="15">
        <f>J8-Volume_Build!J40-J13-J14</f>
        <v>241.34970020226137</v>
      </c>
      <c r="K20" s="15">
        <f>K8-Volume_Build!K40-K13-K14</f>
        <v>275.84220697212197</v>
      </c>
      <c r="L20" s="15">
        <f>L8-Volume_Build!L40-L13-L14</f>
        <v>306.96223931296146</v>
      </c>
      <c r="M20" s="15">
        <f>M8-Volume_Build!M40-M13-M14</f>
        <v>337.55692970290141</v>
      </c>
      <c r="O20" s="15">
        <f>SUM(B20:E20)</f>
        <v>70.157871486640005</v>
      </c>
      <c r="P20" s="15">
        <f>SUM(F20:I20)</f>
        <v>725.29649175975624</v>
      </c>
      <c r="Q20" s="15">
        <f>SUM(J20:M20)</f>
        <v>1161.7110761902463</v>
      </c>
    </row>
    <row r="21" spans="1:17" ht="15" customHeight="1" x14ac:dyDescent="0.3">
      <c r="A21" s="2" t="s">
        <v>121</v>
      </c>
      <c r="B21" s="23">
        <f t="shared" ref="B21:M21" si="5">B15-B20</f>
        <v>3.6645600000000087</v>
      </c>
      <c r="C21" s="23">
        <f t="shared" si="5"/>
        <v>6.2647667999999967</v>
      </c>
      <c r="D21" s="23">
        <f t="shared" si="5"/>
        <v>10.682073769200002</v>
      </c>
      <c r="E21" s="23">
        <f t="shared" si="5"/>
        <v>13.850185265662788</v>
      </c>
      <c r="F21" s="23">
        <f t="shared" si="5"/>
        <v>18.846104260003386</v>
      </c>
      <c r="G21" s="23">
        <f t="shared" si="5"/>
        <v>21.002486543772932</v>
      </c>
      <c r="H21" s="23">
        <f t="shared" si="5"/>
        <v>24.432254273805086</v>
      </c>
      <c r="I21" s="23">
        <f t="shared" si="5"/>
        <v>26.060586208275936</v>
      </c>
      <c r="J21" s="23">
        <f t="shared" si="5"/>
        <v>29.105855537995694</v>
      </c>
      <c r="K21" s="23">
        <f t="shared" si="5"/>
        <v>30.454042546641347</v>
      </c>
      <c r="L21" s="23">
        <f t="shared" si="5"/>
        <v>33.295139181581533</v>
      </c>
      <c r="M21" s="23">
        <f t="shared" si="5"/>
        <v>34.494502458966906</v>
      </c>
      <c r="O21" s="23">
        <f>SUM(B21:E21)</f>
        <v>34.461585834862795</v>
      </c>
      <c r="P21" s="23">
        <f>SUM(F21:I21)</f>
        <v>90.34143128585734</v>
      </c>
      <c r="Q21" s="23">
        <f>SUM(J21:M21)</f>
        <v>127.34953972518548</v>
      </c>
    </row>
  </sheetData>
  <mergeCells count="6">
    <mergeCell ref="A19:M19"/>
    <mergeCell ref="A1:M1"/>
    <mergeCell ref="A2:M2"/>
    <mergeCell ref="B3:E3"/>
    <mergeCell ref="F3:I3"/>
    <mergeCell ref="J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432E"/>
  </sheetPr>
  <dimension ref="A1:E26"/>
  <sheetViews>
    <sheetView showGridLines="0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A2" sqref="A2:E2"/>
    </sheetView>
  </sheetViews>
  <sheetFormatPr defaultColWidth="8.6640625" defaultRowHeight="14.4" x14ac:dyDescent="0.3"/>
  <cols>
    <col min="1" max="1" width="46" customWidth="1"/>
    <col min="2" max="5" width="16" customWidth="1"/>
    <col min="6" max="6" width="4" customWidth="1"/>
    <col min="7" max="7" width="40" customWidth="1"/>
  </cols>
  <sheetData>
    <row r="1" spans="1:5" ht="24" customHeight="1" x14ac:dyDescent="0.4">
      <c r="A1" s="33" t="s">
        <v>181</v>
      </c>
      <c r="B1" s="33"/>
      <c r="C1" s="33"/>
      <c r="D1" s="33"/>
      <c r="E1" s="33"/>
    </row>
    <row r="2" spans="1:5" ht="15" customHeight="1" x14ac:dyDescent="0.3">
      <c r="A2" s="34" t="s">
        <v>194</v>
      </c>
      <c r="B2" s="34"/>
      <c r="C2" s="34"/>
      <c r="D2" s="34"/>
      <c r="E2" s="34"/>
    </row>
    <row r="3" spans="1:5" ht="6" customHeight="1" x14ac:dyDescent="0.3"/>
    <row r="4" spans="1:5" ht="18" customHeight="1" x14ac:dyDescent="0.3">
      <c r="A4" s="35" t="s">
        <v>122</v>
      </c>
      <c r="B4" s="35"/>
      <c r="C4" s="35"/>
      <c r="D4" s="35"/>
      <c r="E4" s="35"/>
    </row>
    <row r="5" spans="1:5" ht="15" customHeight="1" x14ac:dyDescent="0.3">
      <c r="A5" s="21" t="s">
        <v>33</v>
      </c>
      <c r="B5" s="7" t="s">
        <v>106</v>
      </c>
      <c r="C5" s="7" t="s">
        <v>49</v>
      </c>
      <c r="D5" s="7" t="s">
        <v>50</v>
      </c>
      <c r="E5" s="7" t="s">
        <v>123</v>
      </c>
    </row>
    <row r="6" spans="1:5" ht="15" customHeight="1" x14ac:dyDescent="0.3">
      <c r="A6" s="4" t="s">
        <v>124</v>
      </c>
      <c r="B6" s="25">
        <f>PnL!O6</f>
        <v>1382.7988195718999</v>
      </c>
      <c r="C6" s="25">
        <f>PnL!P6</f>
        <v>4468.4526071547771</v>
      </c>
      <c r="D6" s="25">
        <f>PnL!Q6</f>
        <v>6696.4616437654549</v>
      </c>
    </row>
    <row r="7" spans="1:5" ht="15" customHeight="1" x14ac:dyDescent="0.3">
      <c r="A7" s="4" t="s">
        <v>125</v>
      </c>
      <c r="B7" s="25">
        <f>PnL!O15</f>
        <v>104.61945732150281</v>
      </c>
      <c r="C7" s="25">
        <f>PnL!P15</f>
        <v>815.63792304561366</v>
      </c>
      <c r="D7" s="25">
        <f>PnL!Q15</f>
        <v>1289.0606159154318</v>
      </c>
    </row>
    <row r="8" spans="1:5" ht="15" customHeight="1" x14ac:dyDescent="0.3">
      <c r="A8" s="4" t="s">
        <v>126</v>
      </c>
      <c r="B8" s="15">
        <f>MAX(0,B7)*Assumptions!$B$12</f>
        <v>26.154864330375702</v>
      </c>
      <c r="C8" s="15">
        <f>MAX(0,C7)*Assumptions!$B$12</f>
        <v>203.90948076140342</v>
      </c>
      <c r="D8" s="15">
        <f>MAX(0,D7)*Assumptions!$B$12</f>
        <v>322.26515397885794</v>
      </c>
    </row>
    <row r="9" spans="1:5" ht="15" customHeight="1" x14ac:dyDescent="0.3">
      <c r="A9" s="4" t="s">
        <v>127</v>
      </c>
      <c r="B9" s="15">
        <f>B6*Assumptions!$B$13</f>
        <v>27.655976391437999</v>
      </c>
      <c r="C9" s="15">
        <f>C6*Assumptions!$B$13</f>
        <v>89.369052143095544</v>
      </c>
      <c r="D9" s="15">
        <f>D6*Assumptions!$B$13</f>
        <v>133.92923287530911</v>
      </c>
    </row>
    <row r="10" spans="1:5" ht="15" customHeight="1" x14ac:dyDescent="0.3">
      <c r="A10" s="2" t="s">
        <v>128</v>
      </c>
      <c r="B10" s="23">
        <f>B7-B8-B9</f>
        <v>50.808616599689103</v>
      </c>
      <c r="C10" s="23">
        <f>C7-C8-C9</f>
        <v>522.35939014111466</v>
      </c>
      <c r="D10" s="23">
        <f>D7-D8-D9</f>
        <v>832.86622906126468</v>
      </c>
    </row>
    <row r="11" spans="1:5" ht="15" customHeight="1" x14ac:dyDescent="0.3">
      <c r="A11" s="4" t="s">
        <v>129</v>
      </c>
      <c r="E11" s="15">
        <f>D10*(1+Assumptions!$B$11)/(Assumptions!$B$10-Assumptions!$B$11)</f>
        <v>9716.7726723814194</v>
      </c>
    </row>
    <row r="13" spans="1:5" ht="18" customHeight="1" x14ac:dyDescent="0.3">
      <c r="A13" s="35" t="s">
        <v>130</v>
      </c>
      <c r="B13" s="35"/>
      <c r="C13" s="35"/>
      <c r="D13" s="35"/>
      <c r="E13" s="35"/>
    </row>
    <row r="14" spans="1:5" ht="26.25" customHeight="1" x14ac:dyDescent="0.3">
      <c r="A14" s="7" t="s">
        <v>33</v>
      </c>
      <c r="B14" s="7" t="s">
        <v>106</v>
      </c>
      <c r="C14" s="7" t="s">
        <v>49</v>
      </c>
      <c r="D14" s="7" t="s">
        <v>50</v>
      </c>
      <c r="E14" s="7" t="s">
        <v>131</v>
      </c>
    </row>
    <row r="15" spans="1:5" ht="15" customHeight="1" x14ac:dyDescent="0.3">
      <c r="A15" s="4" t="s">
        <v>132</v>
      </c>
      <c r="B15" s="16">
        <f>1/(1+Assumptions!$B$10)^1</f>
        <v>0.8771929824561403</v>
      </c>
      <c r="C15" s="16">
        <f>1/(1+Assumptions!$B$10)^2</f>
        <v>0.76946752847029842</v>
      </c>
      <c r="D15" s="16">
        <f>1/(1+Assumptions!$B$10)^3</f>
        <v>0.67497151620201612</v>
      </c>
      <c r="E15" s="16">
        <f>1/(1+Assumptions!$B$10)^3</f>
        <v>0.67497151620201612</v>
      </c>
    </row>
    <row r="16" spans="1:5" ht="15" customHeight="1" x14ac:dyDescent="0.3">
      <c r="A16" s="4" t="s">
        <v>133</v>
      </c>
      <c r="B16" s="15">
        <f>B10*B15</f>
        <v>44.56896192955184</v>
      </c>
      <c r="C16" s="15">
        <f>C10*C15</f>
        <v>401.93858890513587</v>
      </c>
      <c r="D16" s="15">
        <f>D10*D15</f>
        <v>562.16098142293743</v>
      </c>
      <c r="E16" s="15">
        <f>E11*E15</f>
        <v>6558.5447832676027</v>
      </c>
    </row>
    <row r="17" spans="1:5" ht="15" customHeight="1" x14ac:dyDescent="0.3">
      <c r="A17" s="2" t="s">
        <v>134</v>
      </c>
      <c r="B17" s="23">
        <f>SUM(B16:D16)+E16</f>
        <v>7567.2133155252277</v>
      </c>
    </row>
    <row r="18" spans="1:5" ht="15" customHeight="1" x14ac:dyDescent="0.3">
      <c r="A18" s="4" t="s">
        <v>135</v>
      </c>
      <c r="B18" s="15">
        <f>B17/100</f>
        <v>75.672133155252283</v>
      </c>
    </row>
    <row r="20" spans="1:5" ht="18" customHeight="1" x14ac:dyDescent="0.3">
      <c r="A20" s="35" t="s">
        <v>136</v>
      </c>
      <c r="B20" s="35"/>
      <c r="C20" s="35"/>
      <c r="D20" s="35"/>
      <c r="E20" s="35"/>
    </row>
    <row r="21" spans="1:5" ht="15" customHeight="1" x14ac:dyDescent="0.3">
      <c r="A21" s="4" t="s">
        <v>191</v>
      </c>
      <c r="B21" s="15">
        <f>-MIN(PnL!B17:M17,0)</f>
        <v>41.281633199999995</v>
      </c>
    </row>
    <row r="22" spans="1:5" ht="15" customHeight="1" x14ac:dyDescent="0.3">
      <c r="A22" s="4" t="s">
        <v>137</v>
      </c>
      <c r="B22" s="20">
        <f>COUNTIF(PnL!B17:M17,"&lt;0")+1</f>
        <v>3</v>
      </c>
    </row>
    <row r="23" spans="1:5" ht="15" customHeight="1" x14ac:dyDescent="0.3">
      <c r="A23" s="4" t="s">
        <v>138</v>
      </c>
      <c r="B23" s="15">
        <f>-B21</f>
        <v>-41.281633199999995</v>
      </c>
    </row>
    <row r="24" spans="1:5" ht="15" customHeight="1" x14ac:dyDescent="0.3">
      <c r="A24" s="4" t="s">
        <v>139</v>
      </c>
      <c r="B24" s="15">
        <f>B10</f>
        <v>50.808616599689103</v>
      </c>
      <c r="C24" s="15">
        <f>C10</f>
        <v>522.35939014111466</v>
      </c>
      <c r="D24" s="15">
        <f>D10+E11</f>
        <v>10549.638901442684</v>
      </c>
    </row>
    <row r="25" spans="1:5" ht="15" customHeight="1" x14ac:dyDescent="0.3">
      <c r="A25" s="2" t="s">
        <v>140</v>
      </c>
      <c r="B25" s="26">
        <f>IRR(B23:D24)</f>
        <v>6.4840555364404837</v>
      </c>
    </row>
    <row r="26" spans="1:5" ht="15" customHeight="1" x14ac:dyDescent="0.3">
      <c r="A26" s="3" t="s">
        <v>192</v>
      </c>
    </row>
  </sheetData>
  <mergeCells count="5">
    <mergeCell ref="A1:E1"/>
    <mergeCell ref="A2:E2"/>
    <mergeCell ref="A4:E4"/>
    <mergeCell ref="A13:E13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2A44"/>
  </sheetPr>
  <dimension ref="A1:L29"/>
  <sheetViews>
    <sheetView showGridLines="0" zoomScale="97" zoomScaleNormal="100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A29" sqref="A29"/>
    </sheetView>
  </sheetViews>
  <sheetFormatPr defaultColWidth="8.6640625" defaultRowHeight="14.4" x14ac:dyDescent="0.3"/>
  <cols>
    <col min="1" max="1" width="104.77734375" bestFit="1" customWidth="1"/>
    <col min="2" max="6" width="14" customWidth="1"/>
    <col min="7" max="7" width="6" customWidth="1"/>
    <col min="8" max="12" width="14" customWidth="1"/>
  </cols>
  <sheetData>
    <row r="1" spans="1:12" ht="24" customHeight="1" x14ac:dyDescent="0.4">
      <c r="A1" s="33" t="s">
        <v>141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5" customHeight="1" x14ac:dyDescent="0.3">
      <c r="A2" s="34" t="s">
        <v>193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6" customHeight="1" x14ac:dyDescent="0.3"/>
    <row r="4" spans="1:12" ht="18" customHeight="1" x14ac:dyDescent="0.3">
      <c r="A4" s="35" t="s">
        <v>183</v>
      </c>
      <c r="B4" s="35"/>
      <c r="C4" s="35"/>
      <c r="D4" s="35"/>
      <c r="E4" s="35"/>
      <c r="F4" s="35"/>
    </row>
    <row r="5" spans="1:12" ht="15" customHeight="1" x14ac:dyDescent="0.3">
      <c r="A5" s="2" t="s">
        <v>142</v>
      </c>
      <c r="B5" s="6">
        <v>0.8</v>
      </c>
      <c r="C5" s="6">
        <v>0.85</v>
      </c>
      <c r="D5" s="6">
        <v>0.9</v>
      </c>
      <c r="E5" s="6">
        <v>0.93</v>
      </c>
      <c r="F5" s="6">
        <v>0.95</v>
      </c>
    </row>
    <row r="6" spans="1:12" ht="15" customHeight="1" x14ac:dyDescent="0.3">
      <c r="A6" s="2" t="s">
        <v>143</v>
      </c>
    </row>
    <row r="7" spans="1:12" ht="15" customHeight="1" x14ac:dyDescent="0.3">
      <c r="A7" s="5">
        <v>250</v>
      </c>
      <c r="B7" s="27">
        <f>(Assumptions!$B$17*Assumptions!$B$20)/(1-B$5/(1+LTV_Model!$S$1))/A7</f>
        <v>5.0601928003263348</v>
      </c>
      <c r="C7" s="27">
        <f>(Assumptions!$B$17*Assumptions!$B$20)/(1-C$5/(1+LTV_Model!$S$1))/A7</f>
        <v>6.6318876965890334</v>
      </c>
      <c r="D7" s="27">
        <f>(Assumptions!$B$17*Assumptions!$B$20)/(1-D$5/(1+LTV_Model!$S$1))/A7</f>
        <v>9.6197937615961724</v>
      </c>
      <c r="E7" s="27">
        <f>(Assumptions!$B$17*Assumptions!$B$20)/(1-E$5/(1+LTV_Model!$S$1))/A7</f>
        <v>13.183610806390268</v>
      </c>
      <c r="F7" s="27">
        <f>(Assumptions!$B$17*Assumptions!$B$20)/(1-F$5/(1+LTV_Model!$S$1))/A7</f>
        <v>17.50760523552864</v>
      </c>
    </row>
    <row r="8" spans="1:12" ht="15" customHeight="1" x14ac:dyDescent="0.3">
      <c r="A8" s="5">
        <v>300</v>
      </c>
      <c r="B8" s="27">
        <f>(Assumptions!$B$17*Assumptions!$B$20)/(1-B$5/(1+LTV_Model!$S$1))/A8</f>
        <v>4.2168273336052788</v>
      </c>
      <c r="C8" s="27">
        <f>(Assumptions!$B$17*Assumptions!$B$20)/(1-C$5/(1+LTV_Model!$S$1))/A8</f>
        <v>5.526573080490861</v>
      </c>
      <c r="D8" s="27">
        <f>(Assumptions!$B$17*Assumptions!$B$20)/(1-D$5/(1+LTV_Model!$S$1))/A8</f>
        <v>8.0164948013301434</v>
      </c>
      <c r="E8" s="27">
        <f>(Assumptions!$B$17*Assumptions!$B$20)/(1-E$5/(1+LTV_Model!$S$1))/A8</f>
        <v>10.986342338658558</v>
      </c>
      <c r="F8" s="27">
        <f>(Assumptions!$B$17*Assumptions!$B$20)/(1-F$5/(1+LTV_Model!$S$1))/A8</f>
        <v>14.589671029607201</v>
      </c>
    </row>
    <row r="9" spans="1:12" ht="15" customHeight="1" x14ac:dyDescent="0.3">
      <c r="A9" s="5">
        <v>350</v>
      </c>
      <c r="B9" s="27">
        <f>(Assumptions!$B$17*Assumptions!$B$20)/(1-B$5/(1+LTV_Model!$S$1))/A9</f>
        <v>3.6144234288045247</v>
      </c>
      <c r="C9" s="27">
        <f>(Assumptions!$B$17*Assumptions!$B$20)/(1-C$5/(1+LTV_Model!$S$1))/A9</f>
        <v>4.7370626404207377</v>
      </c>
      <c r="D9" s="27">
        <f>(Assumptions!$B$17*Assumptions!$B$20)/(1-D$5/(1+LTV_Model!$S$1))/A9</f>
        <v>6.8712812582829805</v>
      </c>
      <c r="E9" s="27">
        <f>(Assumptions!$B$17*Assumptions!$B$20)/(1-E$5/(1+LTV_Model!$S$1))/A9</f>
        <v>9.4168648617073352</v>
      </c>
      <c r="F9" s="27">
        <f>(Assumptions!$B$17*Assumptions!$B$20)/(1-F$5/(1+LTV_Model!$S$1))/A9</f>
        <v>12.505432311091887</v>
      </c>
    </row>
    <row r="10" spans="1:12" ht="15" customHeight="1" x14ac:dyDescent="0.3">
      <c r="A10" s="5">
        <v>400</v>
      </c>
      <c r="B10" s="27">
        <f>(Assumptions!$B$17*Assumptions!$B$20)/(1-B$5/(1+LTV_Model!$S$1))/A10</f>
        <v>3.1626205002039591</v>
      </c>
      <c r="C10" s="27">
        <f>(Assumptions!$B$17*Assumptions!$B$20)/(1-C$5/(1+LTV_Model!$S$1))/A10</f>
        <v>4.1449298103681453</v>
      </c>
      <c r="D10" s="27">
        <f>(Assumptions!$B$17*Assumptions!$B$20)/(1-D$5/(1+LTV_Model!$S$1))/A10</f>
        <v>6.0123711009976084</v>
      </c>
      <c r="E10" s="27">
        <f>(Assumptions!$B$17*Assumptions!$B$20)/(1-E$5/(1+LTV_Model!$S$1))/A10</f>
        <v>8.2397567539939178</v>
      </c>
      <c r="F10" s="27">
        <f>(Assumptions!$B$17*Assumptions!$B$20)/(1-F$5/(1+LTV_Model!$S$1))/A10</f>
        <v>10.9422532722054</v>
      </c>
    </row>
    <row r="11" spans="1:12" ht="15" customHeight="1" x14ac:dyDescent="0.3">
      <c r="A11" s="5">
        <v>450</v>
      </c>
      <c r="B11" s="27">
        <f>(Assumptions!$B$17*Assumptions!$B$20)/(1-B$5/(1+LTV_Model!$S$1))/A11</f>
        <v>2.8112182224035194</v>
      </c>
      <c r="C11" s="27">
        <f>(Assumptions!$B$17*Assumptions!$B$20)/(1-C$5/(1+LTV_Model!$S$1))/A11</f>
        <v>3.684382053660574</v>
      </c>
      <c r="D11" s="27">
        <f>(Assumptions!$B$17*Assumptions!$B$20)/(1-D$5/(1+LTV_Model!$S$1))/A11</f>
        <v>5.3443298675534292</v>
      </c>
      <c r="E11" s="27">
        <f>(Assumptions!$B$17*Assumptions!$B$20)/(1-E$5/(1+LTV_Model!$S$1))/A11</f>
        <v>7.3242282257723712</v>
      </c>
      <c r="F11" s="27">
        <f>(Assumptions!$B$17*Assumptions!$B$20)/(1-F$5/(1+LTV_Model!$S$1))/A11</f>
        <v>9.7264473530714675</v>
      </c>
    </row>
    <row r="13" spans="1:12" ht="15" customHeight="1" x14ac:dyDescent="0.3">
      <c r="A13" s="3" t="s">
        <v>182</v>
      </c>
    </row>
    <row r="15" spans="1:12" ht="18" customHeight="1" x14ac:dyDescent="0.3">
      <c r="A15" s="35" t="s">
        <v>184</v>
      </c>
      <c r="B15" s="35"/>
      <c r="C15" s="35"/>
      <c r="D15" s="35"/>
      <c r="E15" s="35"/>
      <c r="F15" s="35"/>
    </row>
    <row r="16" spans="1:12" ht="15" customHeight="1" x14ac:dyDescent="0.3">
      <c r="A16" s="2" t="s">
        <v>144</v>
      </c>
      <c r="B16" s="6">
        <v>0.03</v>
      </c>
      <c r="C16" s="6">
        <v>0.04</v>
      </c>
      <c r="D16" s="6">
        <v>0.05</v>
      </c>
      <c r="E16" s="6">
        <v>0.06</v>
      </c>
      <c r="F16" s="6">
        <v>7.0000000000000007E-2</v>
      </c>
    </row>
    <row r="17" spans="1:6" ht="15" customHeight="1" x14ac:dyDescent="0.3">
      <c r="A17" s="6">
        <v>0.1</v>
      </c>
      <c r="B17" s="15">
        <f>DCF_Valuation!$B$10/(1+$A17)+DCF_Valuation!$C$10/(1+$A17)^2+DCF_Valuation!$D$10/(1+$A17)^3+(DCF_Valuation!$D$10*(1+B$16)/($A17-B$16))/(1+$A17)^3</f>
        <v>10311.023020653111</v>
      </c>
      <c r="C17" s="15">
        <f>DCF_Valuation!$B$10/(1+$A17)+DCF_Valuation!$C$10/(1+$A17)^2+DCF_Valuation!$D$10/(1+$A17)^3+(DCF_Valuation!$D$10*(1+C$16)/($A17-C$16))/(1+$A17)^3</f>
        <v>11949.878252965711</v>
      </c>
      <c r="D17" s="15">
        <f>DCF_Valuation!$B$10/(1+$A17)+DCF_Valuation!$C$10/(1+$A17)^2+DCF_Valuation!$D$10/(1+$A17)^3+(DCF_Valuation!$D$10*(1+D$16)/($A17-D$16))/(1+$A17)^3</f>
        <v>14244.275578203355</v>
      </c>
      <c r="E17" s="15">
        <f>DCF_Valuation!$B$10/(1+$A17)+DCF_Valuation!$C$10/(1+$A17)^2+DCF_Valuation!$D$10/(1+$A17)^3+(DCF_Valuation!$D$10*(1+E$16)/($A17-E$16))/(1+$A17)^3</f>
        <v>17685.871566059817</v>
      </c>
      <c r="F17" s="15">
        <f>DCF_Valuation!$B$10/(1+$A17)+DCF_Valuation!$C$10/(1+$A17)^2+DCF_Valuation!$D$10/(1+$A17)^3+(DCF_Valuation!$D$10*(1+F$16)/($A17-F$16))/(1+$A17)^3</f>
        <v>23421.864879153931</v>
      </c>
    </row>
    <row r="18" spans="1:6" ht="15" customHeight="1" x14ac:dyDescent="0.3">
      <c r="A18" s="6">
        <v>0.12</v>
      </c>
      <c r="B18" s="15">
        <f>DCF_Valuation!$B$10/(1+$A18)+DCF_Valuation!$C$10/(1+$A18)^2+DCF_Valuation!$D$10/(1+$A18)^3+(DCF_Valuation!$D$10*(1+B$16)/($A18-B$16))/(1+$A18)^3</f>
        <v>7839.0738620253469</v>
      </c>
      <c r="C18" s="15">
        <f>DCF_Valuation!$B$10/(1+$A18)+DCF_Valuation!$C$10/(1+$A18)^2+DCF_Valuation!$D$10/(1+$A18)^3+(DCF_Valuation!$D$10*(1+C$16)/($A18-C$16))/(1+$A18)^3</f>
        <v>8761.2347767845768</v>
      </c>
      <c r="D18" s="15">
        <f>DCF_Valuation!$B$10/(1+$A18)+DCF_Valuation!$C$10/(1+$A18)^2+DCF_Valuation!$D$10/(1+$A18)^3+(DCF_Valuation!$D$10*(1+D$16)/($A18-D$16))/(1+$A18)^3</f>
        <v>9946.8702386178738</v>
      </c>
      <c r="E18" s="15">
        <f>DCF_Valuation!$B$10/(1+$A18)+DCF_Valuation!$C$10/(1+$A18)^2+DCF_Valuation!$D$10/(1+$A18)^3+(DCF_Valuation!$D$10*(1+E$16)/($A18-E$16))/(1+$A18)^3</f>
        <v>11527.717521062268</v>
      </c>
      <c r="F18" s="15">
        <f>DCF_Valuation!$B$10/(1+$A18)+DCF_Valuation!$C$10/(1+$A18)^2+DCF_Valuation!$D$10/(1+$A18)^3+(DCF_Valuation!$D$10*(1+F$16)/($A18-F$16))/(1+$A18)^3</f>
        <v>13740.903716484423</v>
      </c>
    </row>
    <row r="19" spans="1:6" ht="15" customHeight="1" x14ac:dyDescent="0.3">
      <c r="A19" s="6">
        <v>0.14000000000000001</v>
      </c>
      <c r="B19" s="15">
        <f>DCF_Valuation!$B$10/(1+$A19)+DCF_Valuation!$C$10/(1+$A19)^2+DCF_Valuation!$D$10/(1+$A19)^3+(DCF_Valuation!$D$10*(1+B$16)/($A19-B$16))/(1+$A19)^3</f>
        <v>6272.5395401269479</v>
      </c>
      <c r="C19" s="15">
        <f>DCF_Valuation!$B$10/(1+$A19)+DCF_Valuation!$C$10/(1+$A19)^2+DCF_Valuation!$D$10/(1+$A19)^3+(DCF_Valuation!$D$10*(1+C$16)/($A19-C$16))/(1+$A19)^3</f>
        <v>6855.1427390561748</v>
      </c>
      <c r="D19" s="15">
        <f>DCF_Valuation!$B$10/(1+$A19)+DCF_Valuation!$C$10/(1+$A19)^2+DCF_Valuation!$D$10/(1+$A19)^3+(DCF_Valuation!$D$10*(1+D$16)/($A19-D$16))/(1+$A19)^3</f>
        <v>7567.2133155252277</v>
      </c>
      <c r="E19" s="15">
        <f>DCF_Valuation!$B$10/(1+$A19)+DCF_Valuation!$C$10/(1+$A19)^2+DCF_Valuation!$D$10/(1+$A19)^3+(DCF_Valuation!$D$10*(1+E$16)/($A19-E$16))/(1+$A19)^3</f>
        <v>8457.3015361115449</v>
      </c>
      <c r="F19" s="15">
        <f>DCF_Valuation!$B$10/(1+$A19)+DCF_Valuation!$C$10/(1+$A19)^2+DCF_Valuation!$D$10/(1+$A19)^3+(DCF_Valuation!$D$10*(1+F$16)/($A19-F$16))/(1+$A19)^3</f>
        <v>9601.7006768653828</v>
      </c>
    </row>
    <row r="20" spans="1:6" ht="15" customHeight="1" x14ac:dyDescent="0.3">
      <c r="A20" s="6">
        <v>0.16</v>
      </c>
      <c r="B20" s="15">
        <f>DCF_Valuation!$B$10/(1+$A20)+DCF_Valuation!$C$10/(1+$A20)^2+DCF_Valuation!$D$10/(1+$A20)^3+(DCF_Valuation!$D$10*(1+B$16)/($A20-B$16))/(1+$A20)^3</f>
        <v>5193.193137535688</v>
      </c>
      <c r="C20" s="15">
        <f>DCF_Valuation!$B$10/(1+$A20)+DCF_Valuation!$C$10/(1+$A20)^2+DCF_Valuation!$D$10/(1+$A20)^3+(DCF_Valuation!$D$10*(1+C$16)/($A20-C$16))/(1+$A20)^3</f>
        <v>5589.9593447091465</v>
      </c>
      <c r="D20" s="15">
        <f>DCF_Valuation!$B$10/(1+$A20)+DCF_Valuation!$C$10/(1+$A20)^2+DCF_Valuation!$D$10/(1+$A20)^3+(DCF_Valuation!$D$10*(1+D$16)/($A20-D$16))/(1+$A20)^3</f>
        <v>6058.8648622777791</v>
      </c>
      <c r="E20" s="15">
        <f>DCF_Valuation!$B$10/(1+$A20)+DCF_Valuation!$C$10/(1+$A20)^2+DCF_Valuation!$D$10/(1+$A20)^3+(DCF_Valuation!$D$10*(1+E$16)/($A20-E$16))/(1+$A20)^3</f>
        <v>6621.5514833601383</v>
      </c>
      <c r="F20" s="15">
        <f>DCF_Valuation!$B$10/(1+$A20)+DCF_Valuation!$C$10/(1+$A20)^2+DCF_Valuation!$D$10/(1+$A20)^3+(DCF_Valuation!$D$10*(1+F$16)/($A20-F$16))/(1+$A20)^3</f>
        <v>7309.2795757941321</v>
      </c>
    </row>
    <row r="21" spans="1:6" ht="15" customHeight="1" x14ac:dyDescent="0.3">
      <c r="A21" s="6">
        <v>0.18</v>
      </c>
      <c r="B21" s="15">
        <f>DCF_Valuation!$B$10/(1+$A21)+DCF_Valuation!$C$10/(1+$A21)^2+DCF_Valuation!$D$10/(1+$A21)^3+(DCF_Valuation!$D$10*(1+B$16)/($A21-B$16))/(1+$A21)^3</f>
        <v>4405.8855823066988</v>
      </c>
      <c r="C21" s="15">
        <f>DCF_Valuation!$B$10/(1+$A21)+DCF_Valuation!$C$10/(1+$A21)^2+DCF_Valuation!$D$10/(1+$A21)^3+(DCF_Valuation!$D$10*(1+C$16)/($A21-C$16))/(1+$A21)^3</f>
        <v>4690.7196574429017</v>
      </c>
      <c r="D21" s="15">
        <f>DCF_Valuation!$B$10/(1+$A21)+DCF_Valuation!$C$10/(1+$A21)^2+DCF_Valuation!$D$10/(1+$A21)^3+(DCF_Valuation!$D$10*(1+D$16)/($A21-D$16))/(1+$A21)^3</f>
        <v>5019.3743595231363</v>
      </c>
      <c r="E21" s="15">
        <f>DCF_Valuation!$B$10/(1+$A21)+DCF_Valuation!$C$10/(1+$A21)^2+DCF_Valuation!$D$10/(1+$A21)^3+(DCF_Valuation!$D$10*(1+E$16)/($A21-E$16))/(1+$A21)^3</f>
        <v>5402.8048452834109</v>
      </c>
      <c r="F21" s="15">
        <f>DCF_Valuation!$B$10/(1+$A21)+DCF_Valuation!$C$10/(1+$A21)^2+DCF_Valuation!$D$10/(1+$A21)^3+(DCF_Valuation!$D$10*(1+F$16)/($A21-F$16))/(1+$A21)^3</f>
        <v>5855.94996481828</v>
      </c>
    </row>
    <row r="23" spans="1:6" ht="15" customHeight="1" x14ac:dyDescent="0.3">
      <c r="A23" s="3" t="s">
        <v>189</v>
      </c>
    </row>
    <row r="25" spans="1:6" ht="18" customHeight="1" x14ac:dyDescent="0.3">
      <c r="A25" s="35" t="s">
        <v>145</v>
      </c>
      <c r="B25" s="35"/>
      <c r="C25" s="35"/>
      <c r="D25" s="35"/>
      <c r="E25" s="35"/>
      <c r="F25" s="35"/>
    </row>
    <row r="26" spans="1:6" ht="15" customHeight="1" x14ac:dyDescent="0.3">
      <c r="A26" s="4" t="s">
        <v>146</v>
      </c>
      <c r="B26" s="6">
        <v>0</v>
      </c>
      <c r="C26" s="6">
        <v>0.06</v>
      </c>
      <c r="D26" s="6">
        <v>0.12</v>
      </c>
      <c r="E26" s="6">
        <v>0.18</v>
      </c>
      <c r="F26" s="6">
        <v>0.24</v>
      </c>
    </row>
    <row r="27" spans="1:6" ht="15" customHeight="1" x14ac:dyDescent="0.3">
      <c r="A27" s="4" t="s">
        <v>147</v>
      </c>
      <c r="B27" s="15">
        <f>PnL!$O$15+PnL!$P$15+PnL!$Q$15+(B26-Assumptions!$B$37)*(Volume_Build!$B$40+Volume_Build!$C$40+Volume_Build!$D$40+Volume_Build!$E$40+Volume_Build!$F$40+Volume_Build!$G$40+Volume_Build!$H$40+Volume_Build!$I$40+Volume_Build!$J$40+Volume_Build!$K$40+Volume_Build!$L$40+Volume_Build!$M$40)</f>
        <v>2107.737996282548</v>
      </c>
      <c r="C27" s="15">
        <f>PnL!$O$15+PnL!$P$15+PnL!$Q$15+(C26-Assumptions!$B$37)*(Volume_Build!$B$40+Volume_Build!$C$40+Volume_Build!$D$40+Volume_Build!$E$40+Volume_Build!$F$40+Volume_Build!$G$40+Volume_Build!$H$40+Volume_Build!$I$40+Volume_Build!$J$40+Volume_Build!$K$40+Volume_Build!$L$40+Volume_Build!$M$40)</f>
        <v>2158.527996282548</v>
      </c>
      <c r="D27" s="15">
        <f>PnL!$O$15+PnL!$P$15+PnL!$Q$15+(D26-Assumptions!$B$37)*(Volume_Build!$B$40+Volume_Build!$C$40+Volume_Build!$D$40+Volume_Build!$E$40+Volume_Build!$F$40+Volume_Build!$G$40+Volume_Build!$H$40+Volume_Build!$I$40+Volume_Build!$J$40+Volume_Build!$K$40+Volume_Build!$L$40+Volume_Build!$M$40)</f>
        <v>2209.3179962825479</v>
      </c>
      <c r="E27" s="15">
        <f>PnL!$O$15+PnL!$P$15+PnL!$Q$15+(E26-Assumptions!$B$37)*(Volume_Build!$B$40+Volume_Build!$C$40+Volume_Build!$D$40+Volume_Build!$E$40+Volume_Build!$F$40+Volume_Build!$G$40+Volume_Build!$H$40+Volume_Build!$I$40+Volume_Build!$J$40+Volume_Build!$K$40+Volume_Build!$L$40+Volume_Build!$M$40)</f>
        <v>2260.1079962825479</v>
      </c>
      <c r="F27" s="15">
        <f>PnL!$O$15+PnL!$P$15+PnL!$Q$15+(F26-Assumptions!$B$37)*(Volume_Build!$B$40+Volume_Build!$C$40+Volume_Build!$D$40+Volume_Build!$E$40+Volume_Build!$F$40+Volume_Build!$G$40+Volume_Build!$H$40+Volume_Build!$I$40+Volume_Build!$J$40+Volume_Build!$K$40+Volume_Build!$L$40+Volume_Build!$M$40)</f>
        <v>2310.8979962825479</v>
      </c>
    </row>
    <row r="29" spans="1:6" ht="15" customHeight="1" x14ac:dyDescent="0.3">
      <c r="A29" s="3" t="s">
        <v>148</v>
      </c>
    </row>
  </sheetData>
  <mergeCells count="5">
    <mergeCell ref="A1:L1"/>
    <mergeCell ref="A2:L2"/>
    <mergeCell ref="A4:F4"/>
    <mergeCell ref="A15:F15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432E"/>
  </sheetPr>
  <dimension ref="A1:F36"/>
  <sheetViews>
    <sheetView showGridLines="0" zoomScaleNormal="100" workbookViewId="0">
      <pane ySplit="3" topLeftCell="A4" activePane="bottomLeft" state="frozen"/>
      <selection pane="bottomLeft" activeCell="B11" sqref="B11"/>
    </sheetView>
  </sheetViews>
  <sheetFormatPr defaultColWidth="8.6640625" defaultRowHeight="14.4" x14ac:dyDescent="0.3"/>
  <cols>
    <col min="1" max="1" width="4" customWidth="1"/>
    <col min="2" max="2" width="34" customWidth="1"/>
    <col min="3" max="3" width="18" customWidth="1"/>
    <col min="4" max="4" width="4" customWidth="1"/>
    <col min="5" max="5" width="34" customWidth="1"/>
    <col min="6" max="6" width="18" customWidth="1"/>
    <col min="7" max="7" width="4" customWidth="1"/>
  </cols>
  <sheetData>
    <row r="1" spans="1:6" ht="24" customHeight="1" x14ac:dyDescent="0.4">
      <c r="A1" s="33" t="s">
        <v>185</v>
      </c>
      <c r="B1" s="33"/>
      <c r="C1" s="33"/>
      <c r="D1" s="33"/>
      <c r="E1" s="33"/>
      <c r="F1" s="33"/>
    </row>
    <row r="2" spans="1:6" ht="15" customHeight="1" x14ac:dyDescent="0.3">
      <c r="A2" s="34"/>
      <c r="B2" s="34"/>
      <c r="C2" s="34"/>
      <c r="D2" s="34"/>
      <c r="E2" s="34"/>
      <c r="F2" s="34"/>
    </row>
    <row r="3" spans="1:6" ht="6" customHeight="1" x14ac:dyDescent="0.3"/>
    <row r="4" spans="1:6" ht="18" customHeight="1" x14ac:dyDescent="0.3">
      <c r="A4" s="35" t="s">
        <v>186</v>
      </c>
      <c r="B4" s="35"/>
      <c r="C4" s="35"/>
      <c r="D4" s="35"/>
      <c r="E4" s="35"/>
      <c r="F4" s="35"/>
    </row>
    <row r="5" spans="1:6" ht="15" customHeight="1" x14ac:dyDescent="0.3">
      <c r="B5" s="4" t="s">
        <v>149</v>
      </c>
      <c r="C5" s="28">
        <f>(PnL!$O$6+PnL!$P$6+PnL!$Q$6)/100</f>
        <v>125.47713070492132</v>
      </c>
      <c r="E5" s="4" t="s">
        <v>150</v>
      </c>
      <c r="F5" s="28">
        <f>DCF_Valuation!$B$18</f>
        <v>75.672133155252283</v>
      </c>
    </row>
    <row r="6" spans="1:6" ht="15" customHeight="1" x14ac:dyDescent="0.3">
      <c r="B6" s="4" t="s">
        <v>151</v>
      </c>
      <c r="C6" s="28">
        <f>PnL!$M$17/100</f>
        <v>22.093179962825481</v>
      </c>
      <c r="E6" s="4" t="s">
        <v>152</v>
      </c>
      <c r="F6" s="29">
        <f>DCF_Valuation!$B$25</f>
        <v>6.4840555364404837</v>
      </c>
    </row>
    <row r="7" spans="1:6" ht="15" customHeight="1" x14ac:dyDescent="0.3">
      <c r="B7" s="4" t="s">
        <v>137</v>
      </c>
      <c r="C7" s="30">
        <f>DCF_Valuation!$B$22</f>
        <v>3</v>
      </c>
      <c r="E7" s="4" t="s">
        <v>187</v>
      </c>
      <c r="F7" s="31">
        <f>LTV_Model!$B$46</f>
        <v>6.7667963630842847</v>
      </c>
    </row>
    <row r="8" spans="1:6" ht="15" customHeight="1" x14ac:dyDescent="0.3">
      <c r="B8" s="4" t="s">
        <v>153</v>
      </c>
      <c r="C8" s="28">
        <f>DCF_Valuation!$B$21/100</f>
        <v>0.41281633199999995</v>
      </c>
      <c r="E8" s="4" t="s">
        <v>188</v>
      </c>
      <c r="F8" s="31">
        <f>LTV_Model!$L$46</f>
        <v>0.19425410943727134</v>
      </c>
    </row>
    <row r="10" spans="1:6" ht="18" customHeight="1" x14ac:dyDescent="0.3">
      <c r="A10" s="35" t="s">
        <v>154</v>
      </c>
      <c r="B10" s="35"/>
      <c r="C10" s="35"/>
      <c r="D10" s="35"/>
      <c r="E10" s="35"/>
      <c r="F10" s="35"/>
    </row>
    <row r="11" spans="1:6" ht="51.75" customHeight="1" x14ac:dyDescent="0.3">
      <c r="B11" s="7" t="s">
        <v>155</v>
      </c>
      <c r="C11" s="7" t="s">
        <v>156</v>
      </c>
      <c r="D11" s="7" t="s">
        <v>157</v>
      </c>
      <c r="E11" s="7" t="s">
        <v>158</v>
      </c>
      <c r="F11" s="7" t="s">
        <v>159</v>
      </c>
    </row>
    <row r="12" spans="1:6" ht="15" customHeight="1" x14ac:dyDescent="0.3">
      <c r="B12" s="4" t="s">
        <v>61</v>
      </c>
      <c r="C12" s="9">
        <f>LTV_Model!B43</f>
        <v>2368.3787270794996</v>
      </c>
      <c r="D12" s="9">
        <f>LTV_Model!B45</f>
        <v>350</v>
      </c>
      <c r="E12" s="27">
        <f>LTV_Model!B46</f>
        <v>6.7667963630842847</v>
      </c>
      <c r="F12" s="20">
        <f>LTV_Model!B47</f>
        <v>0</v>
      </c>
    </row>
    <row r="13" spans="1:6" ht="15" customHeight="1" x14ac:dyDescent="0.3">
      <c r="B13" s="4" t="s">
        <v>62</v>
      </c>
      <c r="C13" s="9">
        <f>LTV_Model!G43</f>
        <v>195.05706631503318</v>
      </c>
      <c r="D13" s="9">
        <f>LTV_Model!G45</f>
        <v>150</v>
      </c>
      <c r="E13" s="27">
        <f>LTV_Model!G46</f>
        <v>1.3003804421002212</v>
      </c>
      <c r="F13" s="20">
        <f>LTV_Model!G47</f>
        <v>2</v>
      </c>
    </row>
    <row r="14" spans="1:6" ht="15" customHeight="1" x14ac:dyDescent="0.3">
      <c r="B14" s="4" t="s">
        <v>63</v>
      </c>
      <c r="C14" s="9">
        <f>LTV_Model!L43</f>
        <v>42.735904076199695</v>
      </c>
      <c r="D14" s="9">
        <f>LTV_Model!L45</f>
        <v>220</v>
      </c>
      <c r="E14" s="27">
        <f>LTV_Model!L46</f>
        <v>0.19425410943727134</v>
      </c>
      <c r="F14" s="20">
        <f>LTV_Model!L47</f>
        <v>35</v>
      </c>
    </row>
    <row r="16" spans="1:6" ht="18" customHeight="1" x14ac:dyDescent="0.3">
      <c r="A16" s="35" t="s">
        <v>160</v>
      </c>
      <c r="B16" s="35"/>
      <c r="C16" s="35"/>
      <c r="D16" s="35"/>
      <c r="E16" s="35"/>
      <c r="F16" s="35"/>
    </row>
    <row r="17" spans="2:6" ht="15" customHeight="1" x14ac:dyDescent="0.3">
      <c r="B17" s="4" t="s">
        <v>161</v>
      </c>
      <c r="C17" s="23">
        <f>(PnL!$O$21+PnL!$P$21+PnL!$Q$21)/100</f>
        <v>2.5215255684590563</v>
      </c>
    </row>
    <row r="18" spans="2:6" ht="15" customHeight="1" x14ac:dyDescent="0.3">
      <c r="B18" s="4" t="s">
        <v>162</v>
      </c>
      <c r="C18" s="15">
        <f>(PnL!$O$9+PnL!$P$9+PnL!$Q$9)/100</f>
        <v>1.5057255684590558</v>
      </c>
    </row>
    <row r="19" spans="2:6" ht="15" customHeight="1" x14ac:dyDescent="0.3">
      <c r="B19" s="4" t="s">
        <v>163</v>
      </c>
      <c r="C19" s="15">
        <f>Assumptions!$B$37*(Volume_Build!$B$40+Volume_Build!$C$40+Volume_Build!$D$40+Volume_Build!$E$40+Volume_Build!$F$40+Volume_Build!$G$40+Volume_Build!$H$40+Volume_Build!$I$40+Volume_Build!$J$40+Volume_Build!$K$40+Volume_Build!$L$40+Volume_Build!$M$40)/100</f>
        <v>1.0158</v>
      </c>
    </row>
    <row r="21" spans="2:6" ht="15" customHeight="1" x14ac:dyDescent="0.3">
      <c r="B21" s="3"/>
    </row>
    <row r="24" spans="2:6" ht="15" customHeight="1" x14ac:dyDescent="0.3">
      <c r="B24" s="2" t="s">
        <v>164</v>
      </c>
      <c r="C24" s="2" t="s">
        <v>165</v>
      </c>
      <c r="E24" s="2" t="s">
        <v>155</v>
      </c>
      <c r="F24" s="2" t="s">
        <v>166</v>
      </c>
    </row>
    <row r="25" spans="2:6" ht="27.75" customHeight="1" x14ac:dyDescent="0.3">
      <c r="B25" t="s">
        <v>81</v>
      </c>
      <c r="C25" s="15">
        <f>PnL!B17</f>
        <v>-38.127440000000007</v>
      </c>
      <c r="E25" s="32" t="s">
        <v>34</v>
      </c>
      <c r="F25" s="15">
        <f>SUM(Volume_Build!B10:M10)</f>
        <v>11823.542154914601</v>
      </c>
    </row>
    <row r="26" spans="2:6" ht="15" customHeight="1" x14ac:dyDescent="0.3">
      <c r="B26" t="s">
        <v>82</v>
      </c>
      <c r="C26" s="15">
        <f>PnL!C17</f>
        <v>-41.281633199999995</v>
      </c>
      <c r="E26" s="32" t="s">
        <v>62</v>
      </c>
      <c r="F26" s="15">
        <f>SUM(Volume_Build!B19:M19)</f>
        <v>609.30677563583731</v>
      </c>
    </row>
    <row r="27" spans="2:6" ht="15" customHeight="1" x14ac:dyDescent="0.3">
      <c r="B27" t="s">
        <v>83</v>
      </c>
      <c r="C27" s="15">
        <f>PnL!D17</f>
        <v>3.4882247291999349</v>
      </c>
      <c r="E27" s="32" t="s">
        <v>63</v>
      </c>
      <c r="F27" s="15">
        <f>SUM(Volume_Build!B28:M28)</f>
        <v>114.8641399416933</v>
      </c>
    </row>
    <row r="28" spans="2:6" ht="15" customHeight="1" x14ac:dyDescent="0.3">
      <c r="B28" t="s">
        <v>84</v>
      </c>
      <c r="C28" s="15">
        <f>PnL!E17</f>
        <v>104.61945732150281</v>
      </c>
    </row>
    <row r="29" spans="2:6" ht="15" customHeight="1" x14ac:dyDescent="0.3">
      <c r="B29" t="s">
        <v>85</v>
      </c>
      <c r="C29" s="15">
        <f>PnL!F17</f>
        <v>229.3148485888089</v>
      </c>
    </row>
    <row r="30" spans="2:6" ht="15" customHeight="1" x14ac:dyDescent="0.3">
      <c r="B30" t="s">
        <v>86</v>
      </c>
      <c r="C30" s="15">
        <f>PnL!G17</f>
        <v>411.83034518340082</v>
      </c>
    </row>
    <row r="31" spans="2:6" ht="15" customHeight="1" x14ac:dyDescent="0.3">
      <c r="B31" t="s">
        <v>87</v>
      </c>
      <c r="C31" s="15">
        <f>PnL!H17</f>
        <v>644.31465797135343</v>
      </c>
    </row>
    <row r="32" spans="2:6" ht="15" customHeight="1" x14ac:dyDescent="0.3">
      <c r="B32" t="s">
        <v>88</v>
      </c>
      <c r="C32" s="15">
        <f>PnL!I17</f>
        <v>920.25738036711641</v>
      </c>
    </row>
    <row r="33" spans="2:3" ht="15" customHeight="1" x14ac:dyDescent="0.3">
      <c r="B33" t="s">
        <v>89</v>
      </c>
      <c r="C33" s="15">
        <f>PnL!J17</f>
        <v>1190.7129361073735</v>
      </c>
    </row>
    <row r="34" spans="2:3" ht="15" customHeight="1" x14ac:dyDescent="0.3">
      <c r="B34" t="s">
        <v>90</v>
      </c>
      <c r="C34" s="15">
        <f>PnL!K17</f>
        <v>1497.0091856261367</v>
      </c>
    </row>
    <row r="35" spans="2:3" ht="15" customHeight="1" x14ac:dyDescent="0.3">
      <c r="B35" t="s">
        <v>91</v>
      </c>
      <c r="C35" s="15">
        <f>PnL!L17</f>
        <v>1837.2665641206797</v>
      </c>
    </row>
    <row r="36" spans="2:3" ht="15" customHeight="1" x14ac:dyDescent="0.3">
      <c r="B36" t="s">
        <v>92</v>
      </c>
      <c r="C36" s="15">
        <f>PnL!M17</f>
        <v>2209.3179962825479</v>
      </c>
    </row>
  </sheetData>
  <mergeCells count="5">
    <mergeCell ref="A1:F1"/>
    <mergeCell ref="A2:F2"/>
    <mergeCell ref="A4:F4"/>
    <mergeCell ref="A10:F10"/>
    <mergeCell ref="A16:F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LTV_Model</vt:lpstr>
      <vt:lpstr>Volume_Build</vt:lpstr>
      <vt:lpstr>PnL</vt:lpstr>
      <vt:lpstr>DCF_Valuation</vt:lpstr>
      <vt:lpstr>Sensitivity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Nikhil Menaria</cp:lastModifiedBy>
  <cp:revision>2</cp:revision>
  <dcterms:created xsi:type="dcterms:W3CDTF">2026-07-04T19:57:29Z</dcterms:created>
  <dcterms:modified xsi:type="dcterms:W3CDTF">2026-07-08T10:39:47Z</dcterms:modified>
  <dc:language>en-US</dc:language>
</cp:coreProperties>
</file>