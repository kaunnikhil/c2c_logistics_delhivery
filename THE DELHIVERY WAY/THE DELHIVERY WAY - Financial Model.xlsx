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8.xml.rels" ContentType="application/vnd.openxmlformats-package.relationships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over" sheetId="1" state="visible" r:id="rId3"/>
    <sheet name="Assumptions" sheetId="2" state="visible" r:id="rId4"/>
    <sheet name="LTV_Model" sheetId="3" state="visible" r:id="rId5"/>
    <sheet name="Volume_Build" sheetId="4" state="visible" r:id="rId6"/>
    <sheet name="PnL" sheetId="5" state="visible" r:id="rId7"/>
    <sheet name="DCF_Valuation" sheetId="6" state="visible" r:id="rId8"/>
    <sheet name="Sensitivity" sheetId="7" state="visible" r:id="rId9"/>
    <sheet name="Dashboard" sheetId="8" state="visible" r:id="rId10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<sst xmlns="http://schemas.openxmlformats.org/spreadsheetml/2006/main" count="276" uniqueCount="198">
  <si>
    <t xml:space="preserve">THE DELHIVERY WAY</t>
  </si>
  <si>
    <t xml:space="preserve">Delhivery Direct (C2C) — Financial &amp; Valuation Model</t>
  </si>
  <si>
    <t xml:space="preserve">Companion finance workstream to the E-Cell IIT Kharagpur case submission ('The Solvoholics')</t>
  </si>
  <si>
    <t xml:space="preserve">Team</t>
  </si>
  <si>
    <t xml:space="preserve">The Solvoholics — Nikhil Menaria, Hiyanshu Gupta</t>
  </si>
  <si>
    <t xml:space="preserve">Competition</t>
  </si>
  <si>
    <t xml:space="preserve">The Delhivery Way — E-Cell, IIT Kharagpur (Preliminary Round, Finalist submission)</t>
  </si>
  <si>
    <t xml:space="preserve">Purpose of this workbook</t>
  </si>
  <si>
    <t xml:space="preserve">Quantify and stress-test the GTM strategy proposed in the case deck: FPDR customer prioritization, phased rollout (Pilot -&gt; Cluster -&gt; National), and the 'Delhivery Direct' app economics.</t>
  </si>
  <si>
    <t xml:space="preserve">Companion analytics project</t>
  </si>
  <si>
    <t xml:space="preserve">ML-powered logistics analytics platform (LTV prediction, delay forecasting, SLA-breach prediction) — github.com/kaunnikhil/c2c_logistics_delhivery</t>
  </si>
  <si>
    <t xml:space="preserve">Currency convention</t>
  </si>
  <si>
    <t xml:space="preserve">All figures in Indian Rupees (INR). Revenue/cost lines in Rs Lakh (1 Lakh = Rs 100,000) unless stated. Per-unit shipment economics in Rs.</t>
  </si>
  <si>
    <t xml:space="preserve">WORKBOOK MAP</t>
  </si>
  <si>
    <t xml:space="preserve">Assumptions</t>
  </si>
  <si>
    <t xml:space="preserve">Market context, segment unit economics, opex, ML-layer impact assumptions (all blue inputs)</t>
  </si>
  <si>
    <t xml:space="preserve">LTV_Model</t>
  </si>
  <si>
    <t xml:space="preserve">36-month cohort LTV build per FPDR segment + closed-form LTV cross-check + LTV:CAC + payback</t>
  </si>
  <si>
    <t xml:space="preserve">Volume_Build</t>
  </si>
  <si>
    <t xml:space="preserve">Quarterly (12Q / 3-yr) sender acquisition, active base, shipment volume by segment</t>
  </si>
  <si>
    <t xml:space="preserve">PnL</t>
  </si>
  <si>
    <t xml:space="preserve">Quarterly &amp; annual P&amp;L for the Delhivery Direct vertical; break-even quarter</t>
  </si>
  <si>
    <t xml:space="preserve">DCF_Valuation</t>
  </si>
  <si>
    <t xml:space="preserve">Free cash flow build, NPV / IRR of the initiative, terminal value</t>
  </si>
  <si>
    <t xml:space="preserve">Sensitivity</t>
  </si>
  <si>
    <t xml:space="preserve">LTV:CAC and NPV sensitivity to churn, CAC and WACC/terminal growth</t>
  </si>
  <si>
    <t xml:space="preserve">Dashboard</t>
  </si>
  <si>
    <t xml:space="preserve">One-page executive summary + quantified value of the ML analytics layer</t>
  </si>
  <si>
    <t xml:space="preserve">Color key: Blue = hardcoded input/assumption | Black = formula/calculation | Green = link from another sheet</t>
  </si>
  <si>
    <t xml:space="preserve">ASSUMPTIONS</t>
  </si>
  <si>
    <t xml:space="preserve">All hardcoded inputs live here — change these to re-run the model</t>
  </si>
  <si>
    <t xml:space="preserve">1. MARKET CONTEXT  (sourced from case deck, Executive Summary slide)</t>
  </si>
  <si>
    <t xml:space="preserve">Indian CEP market size, FY25 (Rs Bn)</t>
  </si>
  <si>
    <t xml:space="preserve">Source: case deck, Executive Summary</t>
  </si>
  <si>
    <t xml:space="preserve">Market CAGR</t>
  </si>
  <si>
    <t xml:space="preserve">Delhivery current backend share of C2C-adjacent ecosystem</t>
  </si>
  <si>
    <t xml:space="preserve">Midpoint of case deck's stated 20-22% range</t>
  </si>
  <si>
    <t xml:space="preserve">2. FINANCE / VALUATION ASSUMPTIONS</t>
  </si>
  <si>
    <t xml:space="preserve">WACC (annual discount rate)</t>
  </si>
  <si>
    <t xml:space="preserve">Illustrative — mid-point for an Indian logistics-tech growth initiative</t>
  </si>
  <si>
    <t xml:space="preserve">Terminal growth rate (post Year 3)</t>
  </si>
  <si>
    <t xml:space="preserve">Corporate tax rate</t>
  </si>
  <si>
    <t xml:space="preserve">Maintenance capex (% of revenue)</t>
  </si>
  <si>
    <t xml:space="preserve">App/tech maintenance, device &amp; packaging-kit capex</t>
  </si>
  <si>
    <t xml:space="preserve">3. FPDR SEGMENT UNIT ECONOMICS  (from case deck's FPDR framework)</t>
  </si>
  <si>
    <t xml:space="preserve">Metric</t>
  </si>
  <si>
    <t xml:space="preserve">Homepreneurs /
Social Sellers</t>
  </si>
  <si>
    <t xml:space="preserve">Students &amp;
Migrants</t>
  </si>
  <si>
    <t xml:space="preserve">C2C Marketplace
Sellers</t>
  </si>
  <si>
    <t xml:space="preserve">Avg. shipments / active sender / month</t>
  </si>
  <si>
    <t xml:space="preserve">Avg. revenue per shipment (Rs)</t>
  </si>
  <si>
    <t xml:space="preserve">Avg. variable cost per shipment (Rs)*</t>
  </si>
  <si>
    <t xml:space="preserve">Contribution margin per shipment (Rs)</t>
  </si>
  <si>
    <t xml:space="preserve">Contribution margin %</t>
  </si>
  <si>
    <t xml:space="preserve">Monthly retention rate (active sender)</t>
  </si>
  <si>
    <t xml:space="preserve">Monthly churn rate</t>
  </si>
  <si>
    <t xml:space="preserve">Quarterly retention rate</t>
  </si>
  <si>
    <t xml:space="preserve">CAC per new active sender (Rs)</t>
  </si>
  <si>
    <t xml:space="preserve">*Variable cost = first/mid-mile linehaul + last-mile delivery + packaging kit + embedded micro-insurance + support/claims handling</t>
  </si>
  <si>
    <t xml:space="preserve">4. OPEX ASSUMPTIONS  (Rs Lakh per quarter, by year of build-out)</t>
  </si>
  <si>
    <t xml:space="preserve">Year 1
(Pilot+Cluster)</t>
  </si>
  <si>
    <t xml:space="preserve">Year 2</t>
  </si>
  <si>
    <t xml:space="preserve">Year 3</t>
  </si>
  <si>
    <t xml:space="preserve">Tech &amp; platform opex / quarter</t>
  </si>
  <si>
    <t xml:space="preserve">Ops team opex / quarter (CX, BD, packaging SOP audit)</t>
  </si>
  <si>
    <t xml:space="preserve">5. ML ANALYTICS LAYER — IMPACT ASSUMPTIONS (links to the companion ML platform)</t>
  </si>
  <si>
    <t xml:space="preserve">Baseline claims/damage cost (% of revenue) without proactive intervention</t>
  </si>
  <si>
    <t xml:space="preserve">Breach-driven claims avoided via SLA-breach prediction model</t>
  </si>
  <si>
    <t xml:space="preserve">Share of claims pre-empted because ops is alerted before the SLA is breached</t>
  </si>
  <si>
    <t xml:space="preserve">Net claims-cost saving (% of revenue), formula</t>
  </si>
  <si>
    <t xml:space="preserve">CAC efficiency gain from LTV-model-led spend reallocation</t>
  </si>
  <si>
    <t xml:space="preserve">Reduction in blended CAC from directing acquisition spend toward high-predicted-LTV cohorts instead of untargeted spend</t>
  </si>
  <si>
    <t xml:space="preserve">LTV MODEL — 36-MONTH COHORT BUILD BY FPDR SEGMENT</t>
  </si>
  <si>
    <t xml:space="preserve">Monthly discount rate</t>
  </si>
  <si>
    <t xml:space="preserve">Deterministic cohort decay used as the finance layer's input; a production system would swap in the ML platform's per-cohort survival curve</t>
  </si>
  <si>
    <t xml:space="preserve">Homepreneurs / Social Sellers</t>
  </si>
  <si>
    <t xml:space="preserve">Students &amp; Migrants</t>
  </si>
  <si>
    <t xml:space="preserve">C2C Marketplace Sellers</t>
  </si>
  <si>
    <t xml:space="preserve">Month (t)</t>
  </si>
  <si>
    <t xml:space="preserve">Retention</t>
  </si>
  <si>
    <t xml:space="preserve">Monthly CM
(Rs)</t>
  </si>
  <si>
    <t xml:space="preserve">Discount
factor</t>
  </si>
  <si>
    <t xml:space="preserve">Discounted
CM (Rs)</t>
  </si>
  <si>
    <t xml:space="preserve">Cumulative
Disc. CM (Rs)</t>
  </si>
  <si>
    <t xml:space="preserve">LTV SUMMARY &amp; VALIDATION</t>
  </si>
  <si>
    <t xml:space="preserve">LTV — 36-month discounted cohort sum (Rs)</t>
  </si>
  <si>
    <t xml:space="preserve">LTV — closed-form infinite-horizon cross-check (Rs)</t>
  </si>
  <si>
    <t xml:space="preserve">Closed form: LTV = CM0 / (1 - retention/(1+i));  cross-checks the truncated 36-month sum above</t>
  </si>
  <si>
    <t xml:space="preserve">LTV : CAC ratio (36-month basis)</t>
  </si>
  <si>
    <t xml:space="preserve">Approx. payback period (months)</t>
  </si>
  <si>
    <t xml:space="preserve">Month index (0-based) at which cumulative discounted contribution margin first recovers CAC</t>
  </si>
  <si>
    <t xml:space="preserve">VOLUME BUILD — QUARTERLY ACQUISITION &amp; SHIPMENT VOLUME (3-YEAR / 12-QUARTER)</t>
  </si>
  <si>
    <t xml:space="preserve">Phase 1 Pilot (Q1) -&gt; Phase 2 Cluster Expansion (Q2-Q3) -&gt; Phase 3 National Scale (Q4-Q12)</t>
  </si>
  <si>
    <t xml:space="preserve">Year 1 (Pilot + Cluster Expansion)</t>
  </si>
  <si>
    <t xml:space="preserve">Year 2 (National Scale)</t>
  </si>
  <si>
    <t xml:space="preserve">Year 3 (National Scale, mature)</t>
  </si>
  <si>
    <t xml:space="preserve">Q1</t>
  </si>
  <si>
    <t xml:space="preserve">Q2</t>
  </si>
  <si>
    <t xml:space="preserve">Q3</t>
  </si>
  <si>
    <t xml:space="preserve">Q4</t>
  </si>
  <si>
    <t xml:space="preserve">Q5</t>
  </si>
  <si>
    <t xml:space="preserve">Q6</t>
  </si>
  <si>
    <t xml:space="preserve">Q7</t>
  </si>
  <si>
    <t xml:space="preserve">Q8</t>
  </si>
  <si>
    <t xml:space="preserve">Q9</t>
  </si>
  <si>
    <t xml:space="preserve">Q10</t>
  </si>
  <si>
    <t xml:space="preserve">Q11</t>
  </si>
  <si>
    <t xml:space="preserve">Q12</t>
  </si>
  <si>
    <t xml:space="preserve">HOMEPRENEURS / SOCIAL SELLERS</t>
  </si>
  <si>
    <t xml:space="preserve">New active senders acquired (input)</t>
  </si>
  <si>
    <t xml:space="preserve">Active senders (end of quarter)</t>
  </si>
  <si>
    <t xml:space="preserve">Shipments in quarter</t>
  </si>
  <si>
    <t xml:space="preserve">Revenue (Rs Lakh)</t>
  </si>
  <si>
    <t xml:space="preserve">Variable cost (Rs Lakh)</t>
  </si>
  <si>
    <t xml:space="preserve">Contribution margin (Rs Lakh)</t>
  </si>
  <si>
    <t xml:space="preserve">Marketing / CAC spend (Rs Lakh)</t>
  </si>
  <si>
    <t xml:space="preserve">STUDENTS &amp; MIGRANTS</t>
  </si>
  <si>
    <t xml:space="preserve">C2C MARKETPLACE SELLERS</t>
  </si>
  <si>
    <t xml:space="preserve">TOTAL — DELHIVERY DIRECT (ALL FPDR SEGMENTS)</t>
  </si>
  <si>
    <t xml:space="preserve">New active senders acquired</t>
  </si>
  <si>
    <t xml:space="preserve">P&amp;L — DELHIVERY DIRECT (C2C) VERTICAL</t>
  </si>
  <si>
    <t xml:space="preserve">Quarterly build, 3-year horizon, showing the quantified contribution of the ML analytics layer</t>
  </si>
  <si>
    <t xml:space="preserve">Year 1</t>
  </si>
  <si>
    <t xml:space="preserve">FY1</t>
  </si>
  <si>
    <t xml:space="preserve">FY2</t>
  </si>
  <si>
    <t xml:space="preserve">FY3</t>
  </si>
  <si>
    <t xml:space="preserve">Gross contribution margin (Rs Lakh)</t>
  </si>
  <si>
    <t xml:space="preserve">(+) Claims-cost saved: SLA-breach prediction model</t>
  </si>
  <si>
    <t xml:space="preserve">Adjusted contribution margin (Rs Lakh)</t>
  </si>
  <si>
    <t xml:space="preserve">(-) Marketing / CAC spend, net of LTV-model efficiency gain</t>
  </si>
  <si>
    <t xml:space="preserve">(-) Tech &amp; platform opex</t>
  </si>
  <si>
    <t xml:space="preserve">(-) Ops team opex</t>
  </si>
  <si>
    <t xml:space="preserve">EBITDA (Rs Lakh)</t>
  </si>
  <si>
    <t xml:space="preserve">EBITDA margin %</t>
  </si>
  <si>
    <t xml:space="preserve">Cumulative EBITDA (Rs Lakh) — funding need / cash generated</t>
  </si>
  <si>
    <t xml:space="preserve">MEMO: VALUE CREATED BY THE ML ANALYTICS LAYER</t>
  </si>
  <si>
    <t xml:space="preserve">Memo: EBITDA excluding ML-layer benefits (baseline, no analytics)</t>
  </si>
  <si>
    <t xml:space="preserve">Memo: Incremental EBITDA from ML analytics layer (SLA-breach + LTV models)</t>
  </si>
  <si>
    <t xml:space="preserve">DCF &amp; VALUATION — DELHIVERY DIRECT (C2C) INITIATIVE</t>
  </si>
  <si>
    <t xml:space="preserve">Is the FPDR-led GTM strategy proposed in the case NPV-positive on a standalone basis?</t>
  </si>
  <si>
    <t xml:space="preserve">1. FREE CASH FLOW BUILD (Rs Lakh)</t>
  </si>
  <si>
    <t xml:space="preserve">Terminal</t>
  </si>
  <si>
    <t xml:space="preserve">Revenue</t>
  </si>
  <si>
    <t xml:space="preserve">EBITDA</t>
  </si>
  <si>
    <t xml:space="preserve">Less: Tax (on positive EBITDA only)</t>
  </si>
  <si>
    <t xml:space="preserve">Less: Maintenance capex (% of revenue)</t>
  </si>
  <si>
    <t xml:space="preserve">Free cash flow (FCF)</t>
  </si>
  <si>
    <t xml:space="preserve">Terminal value (perpetuity on Yr-3 FCF)</t>
  </si>
  <si>
    <t xml:space="preserve">2. DISCOUNTING &amp; NPV</t>
  </si>
  <si>
    <t xml:space="preserve">Terminal (in Yr 3)</t>
  </si>
  <si>
    <t xml:space="preserve">Discount factor @ WACC</t>
  </si>
  <si>
    <t xml:space="preserve">PV of FCF / Terminal value</t>
  </si>
  <si>
    <t xml:space="preserve">NPV of the initiative (Rs Lakh)</t>
  </si>
  <si>
    <t xml:space="preserve">NPV of the initiative (Rs Crore)</t>
  </si>
  <si>
    <t xml:space="preserve">3. FUNDING NEED, BREAK-EVEN &amp; IRR</t>
  </si>
  <si>
    <t xml:space="preserve">Peak funding need before break-even (Rs Lakh)</t>
  </si>
  <si>
    <t xml:space="preserve">Break-even quarter (of 12)</t>
  </si>
  <si>
    <t xml:space="preserve">Cash flow series for IRR: Year 0 (investment)</t>
  </si>
  <si>
    <t xml:space="preserve">Year 1 / Year 2 / Year 3 (incl. terminal value)</t>
  </si>
  <si>
    <t xml:space="preserve">Project IRR (3-year + terminal value)</t>
  </si>
  <si>
    <t xml:space="preserve">IRR cash-flow series: Year0 = -(peak cumulative funding need), Year1-3 = FCF (Year 3 incl. terminal value)</t>
  </si>
  <si>
    <t xml:space="preserve">SENSITIVITY ANALYSIS</t>
  </si>
  <si>
    <t xml:space="preserve">How fragile is the case's economics to churn, CAC and cost-of-capital assumptions?</t>
  </si>
  <si>
    <t xml:space="preserve">1. LTV : CAC SENSITIVITY — HOMEPRENEURS / SOCIAL SELLERS (primary FPDR entry segment)</t>
  </si>
  <si>
    <t xml:space="preserve">Monthly retention -&gt;</t>
  </si>
  <si>
    <t xml:space="preserve">CAC (Rs) (rows)</t>
  </si>
  <si>
    <t xml:space="preserve">Cell = closed-form LTV(retention) / CAC.  Base case (90% retention, Rs350 CAC) sits at the centre — highlighted below.</t>
  </si>
  <si>
    <t xml:space="preserve">2. NPV SENSITIVITY (Rs Lakh) — WACC vs TERMINAL GROWTH</t>
  </si>
  <si>
    <t xml:space="preserve">WACC (rows) / Terminal growth (cols) -&gt;</t>
  </si>
  <si>
    <t xml:space="preserve">Base case (WACC 14%, terminal growth 5%) reconciles to DCF_Valuation!B17.</t>
  </si>
  <si>
    <t xml:space="preserve">3. WHAT-IF: MARKETING EFFICIENCY OF THE LTV MODEL</t>
  </si>
  <si>
    <t xml:space="preserve">CAC efficiency gain assumed</t>
  </si>
  <si>
    <t xml:space="preserve">Resulting 3-yr EBITDA (Rs Lakh)</t>
  </si>
  <si>
    <t xml:space="preserve">Shows 3-yr EBITDA if the LTV-model-driven CAC efficiency gain differs from the 12% base case; illustrates the $ stake of the ML platform's targeting quality.</t>
  </si>
  <si>
    <t xml:space="preserve">EXECUTIVE DASHBOARD — DELHIVERY DIRECT (C2C) FINANCIAL CASE</t>
  </si>
  <si>
    <t xml:space="preserve">One-page summary for 'The Delhivery Way' finance workstream</t>
  </si>
  <si>
    <t xml:space="preserve">HEADLINE RESULTS (3-YEAR HORIZON)</t>
  </si>
  <si>
    <t xml:space="preserve">3-yr cumulative revenue (Rs Cr)</t>
  </si>
  <si>
    <t xml:space="preserve">Project NPV (Rs Cr, base case)</t>
  </si>
  <si>
    <t xml:space="preserve">3-yr cumulative EBITDA (Rs Cr)</t>
  </si>
  <si>
    <t xml:space="preserve">Project IRR (3-yr + terminal)</t>
  </si>
  <si>
    <t xml:space="preserve">Blended LTV:CAC — Homepreneurs</t>
  </si>
  <si>
    <t xml:space="preserve">Peak funding need (Rs Cr)</t>
  </si>
  <si>
    <t xml:space="preserve">Blended LTV:CAC — C2C Marketplace</t>
  </si>
  <si>
    <t xml:space="preserve">SEGMENT ECONOMICS AT A GLANCE (from FPDR framework)</t>
  </si>
  <si>
    <t xml:space="preserve">Segment</t>
  </si>
  <si>
    <t xml:space="preserve">LTV (Rs, 36mo)</t>
  </si>
  <si>
    <t xml:space="preserve">CAC (Rs)</t>
  </si>
  <si>
    <t xml:space="preserve">LTV:CAC</t>
  </si>
  <si>
    <t xml:space="preserve">Payback (mo)</t>
  </si>
  <si>
    <t xml:space="preserve">VALUE CREATED BY THE ML ANALYTICS LAYER (LTV / delay / SLA-breach models)</t>
  </si>
  <si>
    <t xml:space="preserve">3-yr incremental EBITDA from ML layer (Rs Cr)</t>
  </si>
  <si>
    <t xml:space="preserve">of which: claims-cost avoided (SLA-breach model)</t>
  </si>
  <si>
    <t xml:space="preserve">of which: CAC saved via LTV-model targeting (Rs Cr, approx.)</t>
  </si>
  <si>
    <t xml:space="preserve">All figures flow from Assumptions — change any blue input there and this dashboard recalculates end-to-end.</t>
  </si>
  <si>
    <t xml:space="preserve">Quarter</t>
  </si>
  <si>
    <t xml:space="preserve">Cumulative EBITDA (Rs Lakh)</t>
  </si>
  <si>
    <t xml:space="preserve">3-yr Revenue (Rs Lakh)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</si>
</sst>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#,##0;\(#,##0\);\-"/>
    <numFmt numFmtId="166" formatCode="0%;\(0%\);\-"/>
    <numFmt numFmtId="167" formatCode="#,##0"/>
    <numFmt numFmtId="168" formatCode="0.0%;\(0.0%\);\-"/>
    <numFmt numFmtId="169" formatCode="#,##0.0;\(#,##0.0\);\-"/>
    <numFmt numFmtId="170" formatCode="#,##0.00;\(#,##0.00\);\-"/>
    <numFmt numFmtId="171" formatCode="0.00\x"/>
  </numFmts>
  <fonts count="1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22"/>
      <color rgb="FF1F2A44"/>
      <name val="Arial"/>
      <family val="0"/>
      <charset val="1"/>
    </font>
    <font>
      <b val="true"/>
      <sz val="14"/>
      <color rgb="FFD9432E"/>
      <name val="Arial"/>
      <family val="0"/>
      <charset val="1"/>
    </font>
    <font>
      <i val="true"/>
      <sz val="10"/>
      <color rgb="FF404040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i val="true"/>
      <sz val="8"/>
      <color rgb="FF808080"/>
      <name val="Arial"/>
      <family val="0"/>
      <charset val="1"/>
    </font>
    <font>
      <b val="true"/>
      <sz val="16"/>
      <color rgb="FF1F2A44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0"/>
      <color rgb="FF008000"/>
      <name val="Arial"/>
      <family val="0"/>
      <charset val="1"/>
    </font>
    <font>
      <b val="true"/>
      <sz val="12"/>
      <color rgb="FFD9432E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D9432E"/>
        <bgColor rgb="FF993300"/>
      </patternFill>
    </fill>
    <fill>
      <patternFill patternType="solid">
        <fgColor rgb="FF1F2A44"/>
        <bgColor rgb="FF40404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2" borderId="0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3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3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3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3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1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1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1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F81BD"/>
      <rgbColor rgb="FF33CCCC"/>
      <rgbColor rgb="FF99CC00"/>
      <rgbColor rgb="FFFFCC00"/>
      <rgbColor rgb="FFFF9900"/>
      <rgbColor rgb="FFD9432E"/>
      <rgbColor rgb="FF4A7EBB"/>
      <rgbColor rgb="FF878787"/>
      <rgbColor rgb="FF1F2A44"/>
      <rgbColor rgb="FF339966"/>
      <rgbColor rgb="FF003300"/>
      <rgbColor rgb="FF333300"/>
      <rgbColor rgb="FF993300"/>
      <rgbColor rgb="FF993366"/>
      <rgbColor rgb="FF333399"/>
      <rgbColor rgb="FF40404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Cumulative EBITDA trajectory — Delhivery Direct (Rs Lakh)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Dashboard!C24</c:f>
              <c:strCache>
                <c:ptCount val="1"/>
                <c:pt idx="0">
                  <c:v>Cumulative EBITDA (Rs Lakh)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Dashboard!$B$25:$B$36</c:f>
              <c:strCache>
                <c:ptCount val="12"/>
                <c:pt idx="0">
                  <c:v>Q1</c:v>
                </c:pt>
                <c:pt idx="1">
                  <c:v>Q2</c:v>
                </c:pt>
                <c:pt idx="2">
                  <c:v>Q3</c:v>
                </c:pt>
                <c:pt idx="3">
                  <c:v>Q4</c:v>
                </c:pt>
                <c:pt idx="4">
                  <c:v>Q5</c:v>
                </c:pt>
                <c:pt idx="5">
                  <c:v>Q6</c:v>
                </c:pt>
                <c:pt idx="6">
                  <c:v>Q7</c:v>
                </c:pt>
                <c:pt idx="7">
                  <c:v>Q8</c:v>
                </c:pt>
                <c:pt idx="8">
                  <c:v>Q9</c:v>
                </c:pt>
                <c:pt idx="9">
                  <c:v>Q10</c:v>
                </c:pt>
                <c:pt idx="10">
                  <c:v>Q11</c:v>
                </c:pt>
                <c:pt idx="11">
                  <c:v>Q12</c:v>
                </c:pt>
              </c:strCache>
            </c:strRef>
          </c:cat>
          <c:val>
            <c:numRef>
              <c:f>Dashboard!$C$25:$C$36</c:f>
              <c:numCache>
                <c:formatCode>#,##0.0;\(#,##0.0\);\-</c:formatCode>
                <c:ptCount val="12"/>
                <c:pt idx="0">
                  <c:v>-38.12744</c:v>
                </c:pt>
                <c:pt idx="1">
                  <c:v>-41.2816332</c:v>
                </c:pt>
                <c:pt idx="2">
                  <c:v>3.48822472919994</c:v>
                </c:pt>
                <c:pt idx="3">
                  <c:v>104.619457321503</c:v>
                </c:pt>
                <c:pt idx="4">
                  <c:v>229.314848588809</c:v>
                </c:pt>
                <c:pt idx="5">
                  <c:v>411.830345183401</c:v>
                </c:pt>
                <c:pt idx="6">
                  <c:v>644.314657971353</c:v>
                </c:pt>
                <c:pt idx="7">
                  <c:v>920.257380367116</c:v>
                </c:pt>
                <c:pt idx="8">
                  <c:v>1190.71293610737</c:v>
                </c:pt>
                <c:pt idx="9">
                  <c:v>1497.00918562614</c:v>
                </c:pt>
                <c:pt idx="10">
                  <c:v>1837.26656412068</c:v>
                </c:pt>
                <c:pt idx="11">
                  <c:v>2209.31799628255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29456402"/>
        <c:axId val="51455595"/>
      </c:lineChart>
      <c:catAx>
        <c:axId val="29456402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Quarter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1455595"/>
        <c:crosses val="autoZero"/>
        <c:auto val="1"/>
        <c:lblAlgn val="ctr"/>
        <c:lblOffset val="100"/>
        <c:noMultiLvlLbl val="0"/>
      </c:catAx>
      <c:valAx>
        <c:axId val="51455595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Rs Lakh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;\(#,##0.0\);\-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9456402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3-year revenue by FPDR segment (Rs Lakh)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Dashboard!F24</c:f>
              <c:strCache>
                <c:ptCount val="1"/>
                <c:pt idx="0">
                  <c:v>3-yr Revenue (Rs Lakh)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Dashboard!$E$25:$E$27</c:f>
              <c:strCache>
                <c:ptCount val="3"/>
                <c:pt idx="0">
                  <c:v>Homepreneurs /
Social Sellers</c:v>
                </c:pt>
                <c:pt idx="1">
                  <c:v>Students &amp; Migrants</c:v>
                </c:pt>
                <c:pt idx="2">
                  <c:v>C2C Marketplace Sellers</c:v>
                </c:pt>
              </c:strCache>
            </c:strRef>
          </c:cat>
          <c:val>
            <c:numRef>
              <c:f>Dashboard!$F$25:$F$27</c:f>
              <c:numCache>
                <c:formatCode>#,##0.0;\(#,##0.0\);\-</c:formatCode>
                <c:ptCount val="3"/>
                <c:pt idx="0">
                  <c:v>11823.5421549146</c:v>
                </c:pt>
                <c:pt idx="1">
                  <c:v>609.306775635837</c:v>
                </c:pt>
                <c:pt idx="2">
                  <c:v>114.864139941693</c:v>
                </c:pt>
              </c:numCache>
            </c:numRef>
          </c:val>
        </c:ser>
        <c:gapWidth val="150"/>
        <c:overlap val="0"/>
        <c:axId val="16958233"/>
        <c:axId val="12714129"/>
      </c:barChart>
      <c:catAx>
        <c:axId val="16958233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2714129"/>
        <c:crosses val="autoZero"/>
        <c:auto val="1"/>
        <c:lblAlgn val="ctr"/>
        <c:lblOffset val="100"/>
        <c:noMultiLvlLbl val="0"/>
      </c:catAx>
      <c:valAx>
        <c:axId val="12714129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Rs Lakh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;\(#,##0.0\);\-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6958233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34</xdr:row>
      <xdr:rowOff>120240</xdr:rowOff>
    </xdr:from>
    <xdr:to>
      <xdr:col>4</xdr:col>
      <xdr:colOff>1811880</xdr:colOff>
      <xdr:row>49</xdr:row>
      <xdr:rowOff>141840</xdr:rowOff>
    </xdr:to>
    <xdr:graphicFrame>
      <xdr:nvGraphicFramePr>
        <xdr:cNvPr id="0" name="Chart 1"/>
        <xdr:cNvGraphicFramePr/>
      </xdr:nvGraphicFramePr>
      <xdr:xfrm>
        <a:off x="281880" y="7340040"/>
        <a:ext cx="5759280" cy="28792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4</xdr:col>
      <xdr:colOff>0</xdr:colOff>
      <xdr:row>34</xdr:row>
      <xdr:rowOff>120240</xdr:rowOff>
    </xdr:from>
    <xdr:to>
      <xdr:col>7</xdr:col>
      <xdr:colOff>372240</xdr:colOff>
      <xdr:row>49</xdr:row>
      <xdr:rowOff>141840</xdr:rowOff>
    </xdr:to>
    <xdr:graphicFrame>
      <xdr:nvGraphicFramePr>
        <xdr:cNvPr id="1" name="Chart 2"/>
        <xdr:cNvGraphicFramePr/>
      </xdr:nvGraphicFramePr>
      <xdr:xfrm>
        <a:off x="4229280" y="7340040"/>
        <a:ext cx="4319280" cy="28792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2A44"/>
    <pageSetUpPr fitToPage="false"/>
  </sheetPr>
  <dimension ref="A3:D28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4" min="2" style="1" width="32"/>
    <col collapsed="false" customWidth="true" hidden="false" outlineLevel="0" max="5" min="5" style="1" width="20"/>
  </cols>
  <sheetData>
    <row r="3" customFormat="false" ht="26.25" hidden="false" customHeight="true" outlineLevel="0" collapsed="false">
      <c r="B3" s="2" t="s">
        <v>0</v>
      </c>
      <c r="C3" s="2"/>
      <c r="D3" s="2"/>
    </row>
    <row r="4" customFormat="false" ht="17.25" hidden="false" customHeight="true" outlineLevel="0" collapsed="false">
      <c r="B4" s="3" t="s">
        <v>1</v>
      </c>
      <c r="C4" s="3"/>
      <c r="D4" s="3"/>
    </row>
    <row r="5" customFormat="false" ht="15" hidden="false" customHeight="true" outlineLevel="0" collapsed="false">
      <c r="B5" s="4" t="s">
        <v>2</v>
      </c>
      <c r="C5" s="4"/>
      <c r="D5" s="4"/>
    </row>
    <row r="7" customFormat="false" ht="31.5" hidden="false" customHeight="true" outlineLevel="0" collapsed="false">
      <c r="B7" s="5" t="s">
        <v>3</v>
      </c>
      <c r="C7" s="6" t="s">
        <v>4</v>
      </c>
      <c r="D7" s="6"/>
    </row>
    <row r="9" customFormat="false" ht="31.5" hidden="false" customHeight="true" outlineLevel="0" collapsed="false">
      <c r="B9" s="5" t="s">
        <v>5</v>
      </c>
      <c r="C9" s="6" t="s">
        <v>6</v>
      </c>
      <c r="D9" s="6"/>
    </row>
    <row r="11" customFormat="false" ht="31.5" hidden="false" customHeight="true" outlineLevel="0" collapsed="false">
      <c r="B11" s="5" t="s">
        <v>7</v>
      </c>
      <c r="C11" s="6" t="s">
        <v>8</v>
      </c>
      <c r="D11" s="6"/>
    </row>
    <row r="13" customFormat="false" ht="31.5" hidden="false" customHeight="true" outlineLevel="0" collapsed="false">
      <c r="B13" s="5" t="s">
        <v>9</v>
      </c>
      <c r="C13" s="6" t="s">
        <v>10</v>
      </c>
      <c r="D13" s="6"/>
    </row>
    <row r="15" customFormat="false" ht="31.5" hidden="false" customHeight="true" outlineLevel="0" collapsed="false">
      <c r="B15" s="5" t="s">
        <v>11</v>
      </c>
      <c r="C15" s="6" t="s">
        <v>12</v>
      </c>
      <c r="D15" s="6"/>
    </row>
    <row r="18" customFormat="false" ht="18" hidden="false" customHeight="true" outlineLevel="0" collapsed="false">
      <c r="A18" s="7" t="s">
        <v>13</v>
      </c>
      <c r="B18" s="7"/>
      <c r="C18" s="7"/>
      <c r="D18" s="7"/>
    </row>
    <row r="20" customFormat="false" ht="27.75" hidden="false" customHeight="true" outlineLevel="0" collapsed="false">
      <c r="B20" s="8" t="s">
        <v>14</v>
      </c>
      <c r="C20" s="6" t="s">
        <v>15</v>
      </c>
      <c r="D20" s="6"/>
    </row>
    <row r="21" customFormat="false" ht="27.75" hidden="false" customHeight="true" outlineLevel="0" collapsed="false">
      <c r="B21" s="8" t="s">
        <v>16</v>
      </c>
      <c r="C21" s="6" t="s">
        <v>17</v>
      </c>
      <c r="D21" s="6"/>
    </row>
    <row r="22" customFormat="false" ht="27.75" hidden="false" customHeight="true" outlineLevel="0" collapsed="false">
      <c r="B22" s="8" t="s">
        <v>18</v>
      </c>
      <c r="C22" s="6" t="s">
        <v>19</v>
      </c>
      <c r="D22" s="6"/>
    </row>
    <row r="23" customFormat="false" ht="27.75" hidden="false" customHeight="true" outlineLevel="0" collapsed="false">
      <c r="B23" s="8" t="s">
        <v>20</v>
      </c>
      <c r="C23" s="6" t="s">
        <v>21</v>
      </c>
      <c r="D23" s="6"/>
    </row>
    <row r="24" customFormat="false" ht="27.75" hidden="false" customHeight="true" outlineLevel="0" collapsed="false">
      <c r="B24" s="8" t="s">
        <v>22</v>
      </c>
      <c r="C24" s="6" t="s">
        <v>23</v>
      </c>
      <c r="D24" s="6"/>
    </row>
    <row r="25" customFormat="false" ht="27.75" hidden="false" customHeight="true" outlineLevel="0" collapsed="false">
      <c r="B25" s="8" t="s">
        <v>24</v>
      </c>
      <c r="C25" s="6" t="s">
        <v>25</v>
      </c>
      <c r="D25" s="6"/>
    </row>
    <row r="26" customFormat="false" ht="27.75" hidden="false" customHeight="true" outlineLevel="0" collapsed="false">
      <c r="B26" s="8" t="s">
        <v>26</v>
      </c>
      <c r="C26" s="6" t="s">
        <v>27</v>
      </c>
      <c r="D26" s="6"/>
    </row>
    <row r="28" customFormat="false" ht="15" hidden="false" customHeight="true" outlineLevel="0" collapsed="false">
      <c r="B28" s="9" t="s">
        <v>28</v>
      </c>
    </row>
  </sheetData>
  <mergeCells count="16">
    <mergeCell ref="B3:D3"/>
    <mergeCell ref="B4:D4"/>
    <mergeCell ref="B5:D5"/>
    <mergeCell ref="C7:D7"/>
    <mergeCell ref="C9:D9"/>
    <mergeCell ref="C11:D11"/>
    <mergeCell ref="C13:D13"/>
    <mergeCell ref="C15:D15"/>
    <mergeCell ref="A18:D18"/>
    <mergeCell ref="C20:D20"/>
    <mergeCell ref="C21:D21"/>
    <mergeCell ref="C22:D22"/>
    <mergeCell ref="C23:D23"/>
    <mergeCell ref="C24:D24"/>
    <mergeCell ref="C25:D25"/>
    <mergeCell ref="C26:D2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D9432E"/>
    <pageSetUpPr fitToPage="false"/>
  </sheetPr>
  <dimension ref="A1:F3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2"/>
    <col collapsed="false" customWidth="true" hidden="false" outlineLevel="0" max="4" min="2" style="1" width="18"/>
    <col collapsed="false" customWidth="true" hidden="false" outlineLevel="0" max="5" min="5" style="1" width="4"/>
    <col collapsed="false" customWidth="true" hidden="false" outlineLevel="0" max="6" min="6" style="1" width="40"/>
  </cols>
  <sheetData>
    <row r="1" customFormat="false" ht="24" hidden="false" customHeight="true" outlineLevel="0" collapsed="false">
      <c r="A1" s="10" t="s">
        <v>29</v>
      </c>
      <c r="B1" s="10"/>
      <c r="C1" s="10"/>
      <c r="D1" s="10"/>
    </row>
    <row r="2" customFormat="false" ht="15" hidden="false" customHeight="true" outlineLevel="0" collapsed="false">
      <c r="A2" s="4" t="s">
        <v>30</v>
      </c>
      <c r="B2" s="4"/>
      <c r="C2" s="4"/>
      <c r="D2" s="4"/>
    </row>
    <row r="3" customFormat="false" ht="6" hidden="false" customHeight="true" outlineLevel="0" collapsed="false"/>
    <row r="4" customFormat="false" ht="18" hidden="false" customHeight="true" outlineLevel="0" collapsed="false">
      <c r="A4" s="7" t="s">
        <v>31</v>
      </c>
      <c r="B4" s="7"/>
      <c r="C4" s="7"/>
      <c r="D4" s="7"/>
    </row>
    <row r="5" customFormat="false" ht="15" hidden="false" customHeight="true" outlineLevel="0" collapsed="false">
      <c r="A5" s="11" t="s">
        <v>32</v>
      </c>
      <c r="B5" s="12" t="n">
        <v>879</v>
      </c>
      <c r="F5" s="9" t="s">
        <v>33</v>
      </c>
    </row>
    <row r="6" customFormat="false" ht="15" hidden="false" customHeight="true" outlineLevel="0" collapsed="false">
      <c r="A6" s="11" t="s">
        <v>34</v>
      </c>
      <c r="B6" s="13" t="n">
        <v>0.1</v>
      </c>
    </row>
    <row r="7" customFormat="false" ht="15" hidden="false" customHeight="true" outlineLevel="0" collapsed="false">
      <c r="A7" s="11" t="s">
        <v>35</v>
      </c>
      <c r="B7" s="13" t="n">
        <v>0.21</v>
      </c>
      <c r="F7" s="9" t="s">
        <v>36</v>
      </c>
    </row>
    <row r="9" customFormat="false" ht="18" hidden="false" customHeight="true" outlineLevel="0" collapsed="false">
      <c r="A9" s="7" t="s">
        <v>37</v>
      </c>
      <c r="B9" s="7"/>
      <c r="C9" s="7"/>
      <c r="D9" s="7"/>
    </row>
    <row r="10" customFormat="false" ht="15" hidden="false" customHeight="true" outlineLevel="0" collapsed="false">
      <c r="A10" s="11" t="s">
        <v>38</v>
      </c>
      <c r="B10" s="13" t="n">
        <v>0.14</v>
      </c>
      <c r="F10" s="9" t="s">
        <v>39</v>
      </c>
    </row>
    <row r="11" customFormat="false" ht="15" hidden="false" customHeight="true" outlineLevel="0" collapsed="false">
      <c r="A11" s="11" t="s">
        <v>40</v>
      </c>
      <c r="B11" s="13" t="n">
        <v>0.05</v>
      </c>
    </row>
    <row r="12" customFormat="false" ht="15" hidden="false" customHeight="true" outlineLevel="0" collapsed="false">
      <c r="A12" s="11" t="s">
        <v>41</v>
      </c>
      <c r="B12" s="13" t="n">
        <v>0.25</v>
      </c>
    </row>
    <row r="13" customFormat="false" ht="15" hidden="false" customHeight="true" outlineLevel="0" collapsed="false">
      <c r="A13" s="11" t="s">
        <v>42</v>
      </c>
      <c r="B13" s="13" t="n">
        <v>0.02</v>
      </c>
      <c r="F13" s="9" t="s">
        <v>43</v>
      </c>
    </row>
    <row r="15" customFormat="false" ht="18" hidden="false" customHeight="true" outlineLevel="0" collapsed="false">
      <c r="A15" s="7" t="s">
        <v>44</v>
      </c>
      <c r="B15" s="7"/>
      <c r="C15" s="7"/>
      <c r="D15" s="7"/>
    </row>
    <row r="16" customFormat="false" ht="30" hidden="false" customHeight="true" outlineLevel="0" collapsed="false">
      <c r="A16" s="14" t="s">
        <v>45</v>
      </c>
      <c r="B16" s="14" t="s">
        <v>46</v>
      </c>
      <c r="C16" s="14" t="s">
        <v>47</v>
      </c>
      <c r="D16" s="14" t="s">
        <v>48</v>
      </c>
    </row>
    <row r="17" customFormat="false" ht="15" hidden="false" customHeight="true" outlineLevel="0" collapsed="false">
      <c r="A17" s="11" t="s">
        <v>49</v>
      </c>
      <c r="B17" s="15" t="n">
        <v>12</v>
      </c>
      <c r="C17" s="15" t="n">
        <v>2</v>
      </c>
      <c r="D17" s="15" t="n">
        <v>0.8</v>
      </c>
    </row>
    <row r="18" customFormat="false" ht="15" hidden="false" customHeight="true" outlineLevel="0" collapsed="false">
      <c r="A18" s="11" t="s">
        <v>50</v>
      </c>
      <c r="B18" s="12" t="n">
        <v>70</v>
      </c>
      <c r="C18" s="12" t="n">
        <v>85</v>
      </c>
      <c r="D18" s="12" t="n">
        <v>95</v>
      </c>
    </row>
    <row r="19" customFormat="false" ht="15" hidden="false" customHeight="true" outlineLevel="0" collapsed="false">
      <c r="A19" s="11" t="s">
        <v>51</v>
      </c>
      <c r="B19" s="12" t="n">
        <v>48</v>
      </c>
      <c r="C19" s="12" t="n">
        <v>55</v>
      </c>
      <c r="D19" s="12" t="n">
        <v>68</v>
      </c>
    </row>
    <row r="20" customFormat="false" ht="15" hidden="false" customHeight="true" outlineLevel="0" collapsed="false">
      <c r="A20" s="11" t="s">
        <v>52</v>
      </c>
      <c r="B20" s="16" t="n">
        <f aca="false">B18-B19</f>
        <v>22</v>
      </c>
      <c r="C20" s="16" t="n">
        <f aca="false">C18-C19</f>
        <v>30</v>
      </c>
      <c r="D20" s="16" t="n">
        <f aca="false">D18-D19</f>
        <v>27</v>
      </c>
    </row>
    <row r="21" customFormat="false" ht="15" hidden="false" customHeight="true" outlineLevel="0" collapsed="false">
      <c r="A21" s="11" t="s">
        <v>53</v>
      </c>
      <c r="B21" s="17" t="n">
        <f aca="false">B20/B18</f>
        <v>0.314285714285714</v>
      </c>
      <c r="C21" s="17" t="n">
        <f aca="false">C20/C18</f>
        <v>0.352941176470588</v>
      </c>
      <c r="D21" s="17" t="n">
        <f aca="false">D20/D18</f>
        <v>0.284210526315789</v>
      </c>
    </row>
    <row r="22" customFormat="false" ht="15" hidden="false" customHeight="true" outlineLevel="0" collapsed="false">
      <c r="A22" s="11" t="s">
        <v>54</v>
      </c>
      <c r="B22" s="13" t="n">
        <v>0.9</v>
      </c>
      <c r="C22" s="13" t="n">
        <v>0.7</v>
      </c>
      <c r="D22" s="13" t="n">
        <v>0.5</v>
      </c>
    </row>
    <row r="23" customFormat="false" ht="15" hidden="false" customHeight="true" outlineLevel="0" collapsed="false">
      <c r="A23" s="11" t="s">
        <v>55</v>
      </c>
      <c r="B23" s="18" t="n">
        <f aca="false">1-B22</f>
        <v>0.1</v>
      </c>
      <c r="C23" s="18" t="n">
        <f aca="false">1-C22</f>
        <v>0.3</v>
      </c>
      <c r="D23" s="18" t="n">
        <f aca="false">1-D22</f>
        <v>0.5</v>
      </c>
    </row>
    <row r="24" customFormat="false" ht="15" hidden="false" customHeight="true" outlineLevel="0" collapsed="false">
      <c r="A24" s="11" t="s">
        <v>56</v>
      </c>
      <c r="B24" s="17" t="n">
        <f aca="false">B22^3</f>
        <v>0.729</v>
      </c>
      <c r="C24" s="17" t="n">
        <f aca="false">C22^3</f>
        <v>0.343</v>
      </c>
      <c r="D24" s="17" t="n">
        <f aca="false">D22^3</f>
        <v>0.125</v>
      </c>
    </row>
    <row r="25" customFormat="false" ht="15" hidden="false" customHeight="true" outlineLevel="0" collapsed="false">
      <c r="A25" s="11" t="s">
        <v>57</v>
      </c>
      <c r="B25" s="12" t="n">
        <v>350</v>
      </c>
      <c r="C25" s="12" t="n">
        <v>150</v>
      </c>
      <c r="D25" s="12" t="n">
        <v>220</v>
      </c>
    </row>
    <row r="26" customFormat="false" ht="15" hidden="false" customHeight="true" outlineLevel="0" collapsed="false">
      <c r="A26" s="9" t="s">
        <v>58</v>
      </c>
    </row>
    <row r="28" customFormat="false" ht="18" hidden="false" customHeight="true" outlineLevel="0" collapsed="false">
      <c r="A28" s="7" t="s">
        <v>59</v>
      </c>
      <c r="B28" s="7"/>
      <c r="C28" s="7"/>
      <c r="D28" s="7"/>
    </row>
    <row r="29" customFormat="false" ht="25.5" hidden="false" customHeight="true" outlineLevel="0" collapsed="false">
      <c r="A29" s="14" t="s">
        <v>45</v>
      </c>
      <c r="B29" s="14" t="s">
        <v>60</v>
      </c>
      <c r="C29" s="14" t="s">
        <v>61</v>
      </c>
      <c r="D29" s="14" t="s">
        <v>62</v>
      </c>
    </row>
    <row r="30" customFormat="false" ht="15" hidden="false" customHeight="true" outlineLevel="0" collapsed="false">
      <c r="A30" s="11" t="s">
        <v>63</v>
      </c>
      <c r="B30" s="12" t="n">
        <v>25</v>
      </c>
      <c r="C30" s="12" t="n">
        <v>40</v>
      </c>
      <c r="D30" s="12" t="n">
        <v>55</v>
      </c>
    </row>
    <row r="31" customFormat="false" ht="15" hidden="false" customHeight="true" outlineLevel="0" collapsed="false">
      <c r="A31" s="11" t="s">
        <v>64</v>
      </c>
      <c r="B31" s="12" t="n">
        <v>30</v>
      </c>
      <c r="C31" s="12" t="n">
        <v>55</v>
      </c>
      <c r="D31" s="12" t="n">
        <v>85</v>
      </c>
    </row>
    <row r="33" customFormat="false" ht="18" hidden="false" customHeight="true" outlineLevel="0" collapsed="false">
      <c r="A33" s="7" t="s">
        <v>65</v>
      </c>
      <c r="B33" s="7"/>
      <c r="C33" s="7"/>
      <c r="D33" s="7"/>
    </row>
    <row r="34" customFormat="false" ht="15" hidden="false" customHeight="true" outlineLevel="0" collapsed="false">
      <c r="A34" s="11" t="s">
        <v>66</v>
      </c>
      <c r="B34" s="13" t="n">
        <v>0.04</v>
      </c>
    </row>
    <row r="35" customFormat="false" ht="15" hidden="false" customHeight="true" outlineLevel="0" collapsed="false">
      <c r="A35" s="11" t="s">
        <v>67</v>
      </c>
      <c r="B35" s="13" t="n">
        <v>0.3</v>
      </c>
      <c r="F35" s="9" t="s">
        <v>68</v>
      </c>
    </row>
    <row r="36" customFormat="false" ht="15" hidden="false" customHeight="true" outlineLevel="0" collapsed="false">
      <c r="A36" s="11" t="s">
        <v>69</v>
      </c>
      <c r="B36" s="17" t="n">
        <f aca="false">B34*B35</f>
        <v>0.012</v>
      </c>
    </row>
    <row r="37" customFormat="false" ht="15" hidden="false" customHeight="true" outlineLevel="0" collapsed="false">
      <c r="A37" s="11" t="s">
        <v>70</v>
      </c>
      <c r="B37" s="13" t="n">
        <v>0.12</v>
      </c>
      <c r="F37" s="9" t="s">
        <v>71</v>
      </c>
    </row>
  </sheetData>
  <mergeCells count="7">
    <mergeCell ref="A1:D1"/>
    <mergeCell ref="A2:D2"/>
    <mergeCell ref="A4:D4"/>
    <mergeCell ref="A9:D9"/>
    <mergeCell ref="A15:D15"/>
    <mergeCell ref="A28:D28"/>
    <mergeCell ref="A33:D3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2A44"/>
    <pageSetUpPr fitToPage="false"/>
  </sheetPr>
  <dimension ref="A1:S4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8"/>
    <col collapsed="false" customWidth="true" hidden="false" outlineLevel="0" max="16" min="2" style="1" width="11"/>
  </cols>
  <sheetData>
    <row r="1" customFormat="false" ht="24" hidden="false" customHeight="true" outlineLevel="0" collapsed="false">
      <c r="A1" s="10" t="s">
        <v>72</v>
      </c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R1" s="8" t="s">
        <v>73</v>
      </c>
      <c r="S1" s="19" t="n">
        <f aca="false">(1+Assumptions!B10)^(1/12)-1</f>
        <v>0.0109788519501735</v>
      </c>
    </row>
    <row r="2" customFormat="false" ht="15" hidden="false" customHeight="true" outlineLevel="0" collapsed="false">
      <c r="A2" s="4" t="s">
        <v>74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</row>
    <row r="3" customFormat="false" ht="6" hidden="false" customHeight="true" outlineLevel="0" collapsed="false">
      <c r="B3" s="20" t="s">
        <v>75</v>
      </c>
      <c r="C3" s="20"/>
      <c r="D3" s="20"/>
      <c r="E3" s="20"/>
      <c r="F3" s="20"/>
      <c r="G3" s="20" t="s">
        <v>76</v>
      </c>
      <c r="H3" s="20"/>
      <c r="I3" s="20"/>
      <c r="J3" s="20"/>
      <c r="K3" s="20"/>
      <c r="L3" s="20" t="s">
        <v>77</v>
      </c>
      <c r="M3" s="20"/>
      <c r="N3" s="20"/>
      <c r="O3" s="20"/>
      <c r="P3" s="20"/>
    </row>
    <row r="4" customFormat="false" ht="27.75" hidden="false" customHeight="true" outlineLevel="0" collapsed="false">
      <c r="A4" s="21" t="s">
        <v>78</v>
      </c>
      <c r="B4" s="14" t="s">
        <v>79</v>
      </c>
      <c r="C4" s="14" t="s">
        <v>80</v>
      </c>
      <c r="D4" s="14" t="s">
        <v>81</v>
      </c>
      <c r="E4" s="14" t="s">
        <v>82</v>
      </c>
      <c r="F4" s="14" t="s">
        <v>83</v>
      </c>
      <c r="G4" s="14" t="s">
        <v>79</v>
      </c>
      <c r="H4" s="14" t="s">
        <v>80</v>
      </c>
      <c r="I4" s="14" t="s">
        <v>81</v>
      </c>
      <c r="J4" s="14" t="s">
        <v>82</v>
      </c>
      <c r="K4" s="14" t="s">
        <v>83</v>
      </c>
      <c r="L4" s="14" t="s">
        <v>79</v>
      </c>
      <c r="M4" s="14" t="s">
        <v>80</v>
      </c>
      <c r="N4" s="14" t="s">
        <v>81</v>
      </c>
      <c r="O4" s="14" t="s">
        <v>82</v>
      </c>
      <c r="P4" s="14" t="s">
        <v>83</v>
      </c>
    </row>
    <row r="5" customFormat="false" ht="15" hidden="false" customHeight="true" outlineLevel="0" collapsed="false">
      <c r="A5" s="22" t="n">
        <v>0</v>
      </c>
      <c r="B5" s="17" t="n">
        <f aca="false">Assumptions!$B$22^A5</f>
        <v>1</v>
      </c>
      <c r="C5" s="23" t="n">
        <f aca="false">Assumptions!$B$17*Assumptions!$B$20*B5</f>
        <v>264</v>
      </c>
      <c r="D5" s="24" t="n">
        <f aca="false">1/(1+$S$1)^A5</f>
        <v>1</v>
      </c>
      <c r="E5" s="23" t="n">
        <f aca="false">C5*D5</f>
        <v>264</v>
      </c>
      <c r="F5" s="23" t="n">
        <f aca="false">E5</f>
        <v>264</v>
      </c>
      <c r="G5" s="17" t="n">
        <f aca="false">Assumptions!$C$22^A5</f>
        <v>1</v>
      </c>
      <c r="H5" s="23" t="n">
        <f aca="false">Assumptions!$C$17*Assumptions!$C$20*G5</f>
        <v>60</v>
      </c>
      <c r="I5" s="24" t="n">
        <f aca="false">1/(1+$S$1)^A5</f>
        <v>1</v>
      </c>
      <c r="J5" s="23" t="n">
        <f aca="false">H5*I5</f>
        <v>60</v>
      </c>
      <c r="K5" s="23" t="n">
        <f aca="false">J5</f>
        <v>60</v>
      </c>
      <c r="L5" s="17" t="n">
        <f aca="false">Assumptions!$D$22^A5</f>
        <v>1</v>
      </c>
      <c r="M5" s="23" t="n">
        <f aca="false">Assumptions!$D$17*Assumptions!$D$20*L5</f>
        <v>21.6</v>
      </c>
      <c r="N5" s="24" t="n">
        <f aca="false">1/(1+$S$1)^A5</f>
        <v>1</v>
      </c>
      <c r="O5" s="23" t="n">
        <f aca="false">M5*N5</f>
        <v>21.6</v>
      </c>
      <c r="P5" s="23" t="n">
        <f aca="false">O5</f>
        <v>21.6</v>
      </c>
    </row>
    <row r="6" customFormat="false" ht="15" hidden="false" customHeight="true" outlineLevel="0" collapsed="false">
      <c r="A6" s="22" t="n">
        <v>1</v>
      </c>
      <c r="B6" s="17" t="n">
        <f aca="false">Assumptions!$B$22^A6</f>
        <v>0.9</v>
      </c>
      <c r="C6" s="23" t="n">
        <f aca="false">Assumptions!$B$17*Assumptions!$B$20*B6</f>
        <v>237.6</v>
      </c>
      <c r="D6" s="24" t="n">
        <f aca="false">1/(1+$S$1)^A6</f>
        <v>0.989140374272919</v>
      </c>
      <c r="E6" s="23" t="n">
        <f aca="false">C6*D6</f>
        <v>235.019752927245</v>
      </c>
      <c r="F6" s="23" t="n">
        <f aca="false">F5+E6</f>
        <v>499.019752927245</v>
      </c>
      <c r="G6" s="17" t="n">
        <f aca="false">Assumptions!$C$22^A6</f>
        <v>0.7</v>
      </c>
      <c r="H6" s="23" t="n">
        <f aca="false">Assumptions!$C$17*Assumptions!$C$20*G6</f>
        <v>42</v>
      </c>
      <c r="I6" s="24" t="n">
        <f aca="false">1/(1+$S$1)^A6</f>
        <v>0.989140374272919</v>
      </c>
      <c r="J6" s="23" t="n">
        <f aca="false">H6*I6</f>
        <v>41.5438957194626</v>
      </c>
      <c r="K6" s="23" t="n">
        <f aca="false">K5+J6</f>
        <v>101.543895719463</v>
      </c>
      <c r="L6" s="17" t="n">
        <f aca="false">Assumptions!$D$22^A6</f>
        <v>0.5</v>
      </c>
      <c r="M6" s="23" t="n">
        <f aca="false">Assumptions!$D$17*Assumptions!$D$20*L6</f>
        <v>10.8</v>
      </c>
      <c r="N6" s="24" t="n">
        <f aca="false">1/(1+$S$1)^A6</f>
        <v>0.989140374272919</v>
      </c>
      <c r="O6" s="23" t="n">
        <f aca="false">M6*N6</f>
        <v>10.6827160421475</v>
      </c>
      <c r="P6" s="23" t="n">
        <f aca="false">P5+O6</f>
        <v>32.2827160421475</v>
      </c>
    </row>
    <row r="7" customFormat="false" ht="15" hidden="false" customHeight="true" outlineLevel="0" collapsed="false">
      <c r="A7" s="22" t="n">
        <v>2</v>
      </c>
      <c r="B7" s="17" t="n">
        <f aca="false">Assumptions!$B$22^A7</f>
        <v>0.81</v>
      </c>
      <c r="C7" s="23" t="n">
        <f aca="false">Assumptions!$B$17*Assumptions!$B$20*B7</f>
        <v>213.84</v>
      </c>
      <c r="D7" s="24" t="n">
        <f aca="false">1/(1+$S$1)^A7</f>
        <v>0.978398680016769</v>
      </c>
      <c r="E7" s="23" t="n">
        <f aca="false">C7*D7</f>
        <v>209.220773734786</v>
      </c>
      <c r="F7" s="23" t="n">
        <f aca="false">F6+E7</f>
        <v>708.240526662031</v>
      </c>
      <c r="G7" s="17" t="n">
        <f aca="false">Assumptions!$C$22^A7</f>
        <v>0.49</v>
      </c>
      <c r="H7" s="23" t="n">
        <f aca="false">Assumptions!$C$17*Assumptions!$C$20*G7</f>
        <v>29.4</v>
      </c>
      <c r="I7" s="24" t="n">
        <f aca="false">1/(1+$S$1)^A7</f>
        <v>0.978398680016769</v>
      </c>
      <c r="J7" s="23" t="n">
        <f aca="false">H7*I7</f>
        <v>28.764921192493</v>
      </c>
      <c r="K7" s="23" t="n">
        <f aca="false">K6+J7</f>
        <v>130.308816911956</v>
      </c>
      <c r="L7" s="17" t="n">
        <f aca="false">Assumptions!$D$22^A7</f>
        <v>0.25</v>
      </c>
      <c r="M7" s="23" t="n">
        <f aca="false">Assumptions!$D$17*Assumptions!$D$20*L7</f>
        <v>5.4</v>
      </c>
      <c r="N7" s="24" t="n">
        <f aca="false">1/(1+$S$1)^A7</f>
        <v>0.978398680016769</v>
      </c>
      <c r="O7" s="23" t="n">
        <f aca="false">M7*N7</f>
        <v>5.28335287209055</v>
      </c>
      <c r="P7" s="23" t="n">
        <f aca="false">P6+O7</f>
        <v>37.5660689142381</v>
      </c>
    </row>
    <row r="8" customFormat="false" ht="15" hidden="false" customHeight="true" outlineLevel="0" collapsed="false">
      <c r="A8" s="22" t="n">
        <v>3</v>
      </c>
      <c r="B8" s="17" t="n">
        <f aca="false">Assumptions!$B$22^A8</f>
        <v>0.729</v>
      </c>
      <c r="C8" s="23" t="n">
        <f aca="false">Assumptions!$B$17*Assumptions!$B$20*B8</f>
        <v>192.456</v>
      </c>
      <c r="D8" s="24" t="n">
        <f aca="false">1/(1+$S$1)^A8</f>
        <v>0.967773636539917</v>
      </c>
      <c r="E8" s="23" t="n">
        <f aca="false">C8*D8</f>
        <v>186.253842993926</v>
      </c>
      <c r="F8" s="23" t="n">
        <f aca="false">F7+E8</f>
        <v>894.494369655958</v>
      </c>
      <c r="G8" s="17" t="n">
        <f aca="false">Assumptions!$C$22^A8</f>
        <v>0.343</v>
      </c>
      <c r="H8" s="23" t="n">
        <f aca="false">Assumptions!$C$17*Assumptions!$C$20*G8</f>
        <v>20.58</v>
      </c>
      <c r="I8" s="24" t="n">
        <f aca="false">1/(1+$S$1)^A8</f>
        <v>0.967773636539917</v>
      </c>
      <c r="J8" s="23" t="n">
        <f aca="false">H8*I8</f>
        <v>19.9167814399915</v>
      </c>
      <c r="K8" s="23" t="n">
        <f aca="false">K7+J8</f>
        <v>150.225598351947</v>
      </c>
      <c r="L8" s="17" t="n">
        <f aca="false">Assumptions!$D$22^A8</f>
        <v>0.125</v>
      </c>
      <c r="M8" s="23" t="n">
        <f aca="false">Assumptions!$D$17*Assumptions!$D$20*L8</f>
        <v>2.7</v>
      </c>
      <c r="N8" s="24" t="n">
        <f aca="false">1/(1+$S$1)^A8</f>
        <v>0.967773636539917</v>
      </c>
      <c r="O8" s="23" t="n">
        <f aca="false">M8*N8</f>
        <v>2.61298881865778</v>
      </c>
      <c r="P8" s="23" t="n">
        <f aca="false">P7+O8</f>
        <v>40.1790577328959</v>
      </c>
    </row>
    <row r="9" customFormat="false" ht="15" hidden="false" customHeight="true" outlineLevel="0" collapsed="false">
      <c r="A9" s="22" t="n">
        <v>4</v>
      </c>
      <c r="B9" s="17" t="n">
        <f aca="false">Assumptions!$B$22^A9</f>
        <v>0.6561</v>
      </c>
      <c r="C9" s="23" t="n">
        <f aca="false">Assumptions!$B$17*Assumptions!$B$20*B9</f>
        <v>173.2104</v>
      </c>
      <c r="D9" s="24" t="n">
        <f aca="false">1/(1+$S$1)^A9</f>
        <v>0.957263977058556</v>
      </c>
      <c r="E9" s="23" t="n">
        <f aca="false">C9*D9</f>
        <v>165.808076371903</v>
      </c>
      <c r="F9" s="23" t="n">
        <f aca="false">F8+E9</f>
        <v>1060.30244602786</v>
      </c>
      <c r="G9" s="17" t="n">
        <f aca="false">Assumptions!$C$22^A9</f>
        <v>0.2401</v>
      </c>
      <c r="H9" s="23" t="n">
        <f aca="false">Assumptions!$C$17*Assumptions!$C$20*G9</f>
        <v>14.406</v>
      </c>
      <c r="I9" s="24" t="n">
        <f aca="false">1/(1+$S$1)^A9</f>
        <v>0.957263977058556</v>
      </c>
      <c r="J9" s="23" t="n">
        <f aca="false">H9*I9</f>
        <v>13.7903448535056</v>
      </c>
      <c r="K9" s="23" t="n">
        <f aca="false">K8+J9</f>
        <v>164.015943205453</v>
      </c>
      <c r="L9" s="17" t="n">
        <f aca="false">Assumptions!$D$22^A9</f>
        <v>0.0625</v>
      </c>
      <c r="M9" s="23" t="n">
        <f aca="false">Assumptions!$D$17*Assumptions!$D$20*L9</f>
        <v>1.35</v>
      </c>
      <c r="N9" s="24" t="n">
        <f aca="false">1/(1+$S$1)^A9</f>
        <v>0.957263977058556</v>
      </c>
      <c r="O9" s="23" t="n">
        <f aca="false">M9*N9</f>
        <v>1.29230636902905</v>
      </c>
      <c r="P9" s="23" t="n">
        <f aca="false">P8+O9</f>
        <v>41.4713641019249</v>
      </c>
    </row>
    <row r="10" customFormat="false" ht="15" hidden="false" customHeight="true" outlineLevel="0" collapsed="false">
      <c r="A10" s="22" t="n">
        <v>5</v>
      </c>
      <c r="B10" s="17" t="n">
        <f aca="false">Assumptions!$B$22^A10</f>
        <v>0.59049</v>
      </c>
      <c r="C10" s="23" t="n">
        <f aca="false">Assumptions!$B$17*Assumptions!$B$20*B10</f>
        <v>155.88936</v>
      </c>
      <c r="D10" s="24" t="n">
        <f aca="false">1/(1+$S$1)^A10</f>
        <v>0.946868448545683</v>
      </c>
      <c r="E10" s="23" t="n">
        <f aca="false">C10*D10</f>
        <v>147.606716447979</v>
      </c>
      <c r="F10" s="23" t="n">
        <f aca="false">F9+E10</f>
        <v>1207.90916247584</v>
      </c>
      <c r="G10" s="17" t="n">
        <f aca="false">Assumptions!$C$22^A10</f>
        <v>0.16807</v>
      </c>
      <c r="H10" s="23" t="n">
        <f aca="false">Assumptions!$C$17*Assumptions!$C$20*G10</f>
        <v>10.0842</v>
      </c>
      <c r="I10" s="24" t="n">
        <f aca="false">1/(1+$S$1)^A10</f>
        <v>0.946868448545683</v>
      </c>
      <c r="J10" s="23" t="n">
        <f aca="false">H10*I10</f>
        <v>9.54841080882437</v>
      </c>
      <c r="K10" s="23" t="n">
        <f aca="false">K9+J10</f>
        <v>173.564354014277</v>
      </c>
      <c r="L10" s="17" t="n">
        <f aca="false">Assumptions!$D$22^A10</f>
        <v>0.03125</v>
      </c>
      <c r="M10" s="23" t="n">
        <f aca="false">Assumptions!$D$17*Assumptions!$D$20*L10</f>
        <v>0.675</v>
      </c>
      <c r="N10" s="24" t="n">
        <f aca="false">1/(1+$S$1)^A10</f>
        <v>0.946868448545683</v>
      </c>
      <c r="O10" s="23" t="n">
        <f aca="false">M10*N10</f>
        <v>0.639136202768336</v>
      </c>
      <c r="P10" s="23" t="n">
        <f aca="false">P9+O10</f>
        <v>42.1105003046932</v>
      </c>
    </row>
    <row r="11" customFormat="false" ht="15" hidden="false" customHeight="true" outlineLevel="0" collapsed="false">
      <c r="A11" s="22" t="n">
        <v>6</v>
      </c>
      <c r="B11" s="17" t="n">
        <f aca="false">Assumptions!$B$22^A11</f>
        <v>0.531441</v>
      </c>
      <c r="C11" s="23" t="n">
        <f aca="false">Assumptions!$B$17*Assumptions!$B$20*B11</f>
        <v>140.300424</v>
      </c>
      <c r="D11" s="24" t="n">
        <f aca="false">1/(1+$S$1)^A11</f>
        <v>0.936585811581694</v>
      </c>
      <c r="E11" s="23" t="n">
        <f aca="false">C11*D11</f>
        <v>131.403386477296</v>
      </c>
      <c r="F11" s="23" t="n">
        <f aca="false">F10+E11</f>
        <v>1339.31254895314</v>
      </c>
      <c r="G11" s="17" t="n">
        <f aca="false">Assumptions!$C$22^A11</f>
        <v>0.117649</v>
      </c>
      <c r="H11" s="23" t="n">
        <f aca="false">Assumptions!$C$17*Assumptions!$C$20*G11</f>
        <v>7.05894</v>
      </c>
      <c r="I11" s="24" t="n">
        <f aca="false">1/(1+$S$1)^A11</f>
        <v>0.936585811581694</v>
      </c>
      <c r="J11" s="23" t="n">
        <f aca="false">H11*I11</f>
        <v>6.61130304880648</v>
      </c>
      <c r="K11" s="23" t="n">
        <f aca="false">K10+J11</f>
        <v>180.175657063083</v>
      </c>
      <c r="L11" s="17" t="n">
        <f aca="false">Assumptions!$D$22^A11</f>
        <v>0.015625</v>
      </c>
      <c r="M11" s="23" t="n">
        <f aca="false">Assumptions!$D$17*Assumptions!$D$20*L11</f>
        <v>0.3375</v>
      </c>
      <c r="N11" s="24" t="n">
        <f aca="false">1/(1+$S$1)^A11</f>
        <v>0.936585811581694</v>
      </c>
      <c r="O11" s="23" t="n">
        <f aca="false">M11*N11</f>
        <v>0.316097711408822</v>
      </c>
      <c r="P11" s="23" t="n">
        <f aca="false">P10+O11</f>
        <v>42.4265980161021</v>
      </c>
    </row>
    <row r="12" customFormat="false" ht="15" hidden="false" customHeight="true" outlineLevel="0" collapsed="false">
      <c r="A12" s="22" t="n">
        <v>7</v>
      </c>
      <c r="B12" s="17" t="n">
        <f aca="false">Assumptions!$B$22^A12</f>
        <v>0.4782969</v>
      </c>
      <c r="C12" s="23" t="n">
        <f aca="false">Assumptions!$B$17*Assumptions!$B$20*B12</f>
        <v>126.2703816</v>
      </c>
      <c r="D12" s="24" t="n">
        <f aca="false">1/(1+$S$1)^A12</f>
        <v>0.926414840206622</v>
      </c>
      <c r="E12" s="23" t="n">
        <f aca="false">C12*D12</f>
        <v>116.978755392793</v>
      </c>
      <c r="F12" s="23" t="n">
        <f aca="false">F11+E12</f>
        <v>1456.29130434593</v>
      </c>
      <c r="G12" s="17" t="n">
        <f aca="false">Assumptions!$C$22^A12</f>
        <v>0.0823543</v>
      </c>
      <c r="H12" s="23" t="n">
        <f aca="false">Assumptions!$C$17*Assumptions!$C$20*G12</f>
        <v>4.941258</v>
      </c>
      <c r="I12" s="24" t="n">
        <f aca="false">1/(1+$S$1)^A12</f>
        <v>0.926414840206622</v>
      </c>
      <c r="J12" s="23" t="n">
        <f aca="false">H12*I12</f>
        <v>4.57765474048969</v>
      </c>
      <c r="K12" s="23" t="n">
        <f aca="false">K11+J12</f>
        <v>184.753311803573</v>
      </c>
      <c r="L12" s="17" t="n">
        <f aca="false">Assumptions!$D$22^A12</f>
        <v>0.0078125</v>
      </c>
      <c r="M12" s="23" t="n">
        <f aca="false">Assumptions!$D$17*Assumptions!$D$20*L12</f>
        <v>0.16875</v>
      </c>
      <c r="N12" s="24" t="n">
        <f aca="false">1/(1+$S$1)^A12</f>
        <v>0.926414840206622</v>
      </c>
      <c r="O12" s="23" t="n">
        <f aca="false">M12*N12</f>
        <v>0.156332504284868</v>
      </c>
      <c r="P12" s="23" t="n">
        <f aca="false">P11+O12</f>
        <v>42.5829305203869</v>
      </c>
    </row>
    <row r="13" customFormat="false" ht="15" hidden="false" customHeight="true" outlineLevel="0" collapsed="false">
      <c r="A13" s="22" t="n">
        <v>8</v>
      </c>
      <c r="B13" s="17" t="n">
        <f aca="false">Assumptions!$B$22^A13</f>
        <v>0.43046721</v>
      </c>
      <c r="C13" s="23" t="n">
        <f aca="false">Assumptions!$B$17*Assumptions!$B$20*B13</f>
        <v>113.64334344</v>
      </c>
      <c r="D13" s="24" t="n">
        <f aca="false">1/(1+$S$1)^A13</f>
        <v>0.916354321773964</v>
      </c>
      <c r="E13" s="23" t="n">
        <f aca="false">C13*D13</f>
        <v>104.137568902087</v>
      </c>
      <c r="F13" s="23" t="n">
        <f aca="false">F12+E13</f>
        <v>1560.42887324802</v>
      </c>
      <c r="G13" s="17" t="n">
        <f aca="false">Assumptions!$C$22^A13</f>
        <v>0.05764801</v>
      </c>
      <c r="H13" s="23" t="n">
        <f aca="false">Assumptions!$C$17*Assumptions!$C$20*G13</f>
        <v>3.4588806</v>
      </c>
      <c r="I13" s="24" t="n">
        <f aca="false">1/(1+$S$1)^A13</f>
        <v>0.916354321773964</v>
      </c>
      <c r="J13" s="23" t="n">
        <f aca="false">H13*I13</f>
        <v>3.16956018631012</v>
      </c>
      <c r="K13" s="23" t="n">
        <f aca="false">K12+J13</f>
        <v>187.922871989883</v>
      </c>
      <c r="L13" s="17" t="n">
        <f aca="false">Assumptions!$D$22^A13</f>
        <v>0.00390625</v>
      </c>
      <c r="M13" s="23" t="n">
        <f aca="false">Assumptions!$D$17*Assumptions!$D$20*L13</f>
        <v>0.084375</v>
      </c>
      <c r="N13" s="24" t="n">
        <f aca="false">1/(1+$S$1)^A13</f>
        <v>0.916354321773964</v>
      </c>
      <c r="O13" s="23" t="n">
        <f aca="false">M13*N13</f>
        <v>0.0773173958996783</v>
      </c>
      <c r="P13" s="23" t="n">
        <f aca="false">P12+O13</f>
        <v>42.6602479162866</v>
      </c>
    </row>
    <row r="14" customFormat="false" ht="15" hidden="false" customHeight="true" outlineLevel="0" collapsed="false">
      <c r="A14" s="22" t="n">
        <v>9</v>
      </c>
      <c r="B14" s="17" t="n">
        <f aca="false">Assumptions!$B$22^A14</f>
        <v>0.387420489</v>
      </c>
      <c r="C14" s="23" t="n">
        <f aca="false">Assumptions!$B$17*Assumptions!$B$20*B14</f>
        <v>102.279009096</v>
      </c>
      <c r="D14" s="24" t="n">
        <f aca="false">1/(1+$S$1)^A14</f>
        <v>0.906403056806105</v>
      </c>
      <c r="E14" s="23" t="n">
        <f aca="false">C14*D14</f>
        <v>92.7060064917139</v>
      </c>
      <c r="F14" s="23" t="n">
        <f aca="false">F13+E14</f>
        <v>1653.13487973973</v>
      </c>
      <c r="G14" s="17" t="n">
        <f aca="false">Assumptions!$C$22^A14</f>
        <v>0.040353607</v>
      </c>
      <c r="H14" s="23" t="n">
        <f aca="false">Assumptions!$C$17*Assumptions!$C$20*G14</f>
        <v>2.42121642</v>
      </c>
      <c r="I14" s="24" t="n">
        <f aca="false">1/(1+$S$1)^A14</f>
        <v>0.906403056806105</v>
      </c>
      <c r="J14" s="23" t="n">
        <f aca="false">H14*I14</f>
        <v>2.19459796427713</v>
      </c>
      <c r="K14" s="23" t="n">
        <f aca="false">K13+J14</f>
        <v>190.11746995416</v>
      </c>
      <c r="L14" s="17" t="n">
        <f aca="false">Assumptions!$D$22^A14</f>
        <v>0.001953125</v>
      </c>
      <c r="M14" s="23" t="n">
        <f aca="false">Assumptions!$D$17*Assumptions!$D$20*L14</f>
        <v>0.0421875</v>
      </c>
      <c r="N14" s="24" t="n">
        <f aca="false">1/(1+$S$1)^A14</f>
        <v>0.906403056806105</v>
      </c>
      <c r="O14" s="23" t="n">
        <f aca="false">M14*N14</f>
        <v>0.0382388789590076</v>
      </c>
      <c r="P14" s="23" t="n">
        <f aca="false">P13+O14</f>
        <v>42.6984867952456</v>
      </c>
    </row>
    <row r="15" customFormat="false" ht="15" hidden="false" customHeight="true" outlineLevel="0" collapsed="false">
      <c r="A15" s="22" t="n">
        <v>10</v>
      </c>
      <c r="B15" s="17" t="n">
        <f aca="false">Assumptions!$B$22^A15</f>
        <v>0.3486784401</v>
      </c>
      <c r="C15" s="23" t="n">
        <f aca="false">Assumptions!$B$17*Assumptions!$B$20*B15</f>
        <v>92.0511081864</v>
      </c>
      <c r="D15" s="24" t="n">
        <f aca="false">1/(1+$S$1)^A15</f>
        <v>0.896559858851309</v>
      </c>
      <c r="E15" s="23" t="n">
        <f aca="false">C15*D15</f>
        <v>82.5293285627054</v>
      </c>
      <c r="F15" s="23" t="n">
        <f aca="false">F14+E15</f>
        <v>1735.66420830244</v>
      </c>
      <c r="G15" s="17" t="n">
        <f aca="false">Assumptions!$C$22^A15</f>
        <v>0.0282475249</v>
      </c>
      <c r="H15" s="23" t="n">
        <f aca="false">Assumptions!$C$17*Assumptions!$C$20*G15</f>
        <v>1.694851494</v>
      </c>
      <c r="I15" s="24" t="n">
        <f aca="false">1/(1+$S$1)^A15</f>
        <v>0.896559858851309</v>
      </c>
      <c r="J15" s="23" t="n">
        <f aca="false">H15*I15</f>
        <v>1.51953581623457</v>
      </c>
      <c r="K15" s="23" t="n">
        <f aca="false">K14+J15</f>
        <v>191.637005770395</v>
      </c>
      <c r="L15" s="17" t="n">
        <f aca="false">Assumptions!$D$22^A15</f>
        <v>0.0009765625</v>
      </c>
      <c r="M15" s="23" t="n">
        <f aca="false">Assumptions!$D$17*Assumptions!$D$20*L15</f>
        <v>0.02109375</v>
      </c>
      <c r="N15" s="24" t="n">
        <f aca="false">1/(1+$S$1)^A15</f>
        <v>0.896559858851309</v>
      </c>
      <c r="O15" s="23" t="n">
        <f aca="false">M15*N15</f>
        <v>0.0189118095226448</v>
      </c>
      <c r="P15" s="23" t="n">
        <f aca="false">P14+O15</f>
        <v>42.7173986047683</v>
      </c>
    </row>
    <row r="16" customFormat="false" ht="15" hidden="false" customHeight="true" outlineLevel="0" collapsed="false">
      <c r="A16" s="22" t="n">
        <v>11</v>
      </c>
      <c r="B16" s="17" t="n">
        <f aca="false">Assumptions!$B$22^A16</f>
        <v>0.31381059609</v>
      </c>
      <c r="C16" s="23" t="n">
        <f aca="false">Assumptions!$B$17*Assumptions!$B$20*B16</f>
        <v>82.84599736776</v>
      </c>
      <c r="D16" s="24" t="n">
        <f aca="false">1/(1+$S$1)^A16</f>
        <v>0.886823554342258</v>
      </c>
      <c r="E16" s="23" t="n">
        <f aca="false">C16*D16</f>
        <v>73.4697818487063</v>
      </c>
      <c r="F16" s="23" t="n">
        <f aca="false">F15+E16</f>
        <v>1809.13399015114</v>
      </c>
      <c r="G16" s="17" t="n">
        <f aca="false">Assumptions!$C$22^A16</f>
        <v>0.01977326743</v>
      </c>
      <c r="H16" s="23" t="n">
        <f aca="false">Assumptions!$C$17*Assumptions!$C$20*G16</f>
        <v>1.1863960458</v>
      </c>
      <c r="I16" s="24" t="n">
        <f aca="false">1/(1+$S$1)^A16</f>
        <v>0.886823554342258</v>
      </c>
      <c r="J16" s="23" t="n">
        <f aca="false">H16*I16</f>
        <v>1.05212395819396</v>
      </c>
      <c r="K16" s="23" t="n">
        <f aca="false">K15+J16</f>
        <v>192.689129728589</v>
      </c>
      <c r="L16" s="17" t="n">
        <f aca="false">Assumptions!$D$22^A16</f>
        <v>0.00048828125</v>
      </c>
      <c r="M16" s="23" t="n">
        <f aca="false">Assumptions!$D$17*Assumptions!$D$20*L16</f>
        <v>0.010546875</v>
      </c>
      <c r="N16" s="24" t="n">
        <f aca="false">1/(1+$S$1)^A16</f>
        <v>0.886823554342258</v>
      </c>
      <c r="O16" s="23" t="n">
        <f aca="false">M16*N16</f>
        <v>0.00935321717470351</v>
      </c>
      <c r="P16" s="23" t="n">
        <f aca="false">P15+O16</f>
        <v>42.726751821943</v>
      </c>
    </row>
    <row r="17" customFormat="false" ht="15" hidden="false" customHeight="true" outlineLevel="0" collapsed="false">
      <c r="A17" s="22" t="n">
        <v>12</v>
      </c>
      <c r="B17" s="17" t="n">
        <f aca="false">Assumptions!$B$22^A17</f>
        <v>0.282429536481</v>
      </c>
      <c r="C17" s="23" t="n">
        <f aca="false">Assumptions!$B$17*Assumptions!$B$20*B17</f>
        <v>74.561397630984</v>
      </c>
      <c r="D17" s="24" t="n">
        <f aca="false">1/(1+$S$1)^A17</f>
        <v>0.877192982456141</v>
      </c>
      <c r="E17" s="23" t="n">
        <f aca="false">C17*D17</f>
        <v>65.4047347640212</v>
      </c>
      <c r="F17" s="23" t="n">
        <f aca="false">F16+E17</f>
        <v>1874.53872491516</v>
      </c>
      <c r="G17" s="17" t="n">
        <f aca="false">Assumptions!$C$22^A17</f>
        <v>0.013841287201</v>
      </c>
      <c r="H17" s="23" t="n">
        <f aca="false">Assumptions!$C$17*Assumptions!$C$20*G17</f>
        <v>0.830477232059999</v>
      </c>
      <c r="I17" s="24" t="n">
        <f aca="false">1/(1+$S$1)^A17</f>
        <v>0.877192982456141</v>
      </c>
      <c r="J17" s="23" t="n">
        <f aca="false">H17*I17</f>
        <v>0.728488800052632</v>
      </c>
      <c r="K17" s="23" t="n">
        <f aca="false">K16+J17</f>
        <v>193.417618528642</v>
      </c>
      <c r="L17" s="17" t="n">
        <f aca="false">Assumptions!$D$22^A17</f>
        <v>0.000244140625</v>
      </c>
      <c r="M17" s="23" t="n">
        <f aca="false">Assumptions!$D$17*Assumptions!$D$20*L17</f>
        <v>0.0052734375</v>
      </c>
      <c r="N17" s="24" t="n">
        <f aca="false">1/(1+$S$1)^A17</f>
        <v>0.877192982456141</v>
      </c>
      <c r="O17" s="23" t="n">
        <f aca="false">M17*N17</f>
        <v>0.00462582236842106</v>
      </c>
      <c r="P17" s="23" t="n">
        <f aca="false">P16+O17</f>
        <v>42.7313776443114</v>
      </c>
    </row>
    <row r="18" customFormat="false" ht="15" hidden="false" customHeight="true" outlineLevel="0" collapsed="false">
      <c r="A18" s="22" t="n">
        <v>13</v>
      </c>
      <c r="B18" s="17" t="n">
        <f aca="false">Assumptions!$B$22^A18</f>
        <v>0.2541865828329</v>
      </c>
      <c r="C18" s="23" t="n">
        <f aca="false">Assumptions!$B$17*Assumptions!$B$20*B18</f>
        <v>67.1052578678856</v>
      </c>
      <c r="D18" s="24" t="n">
        <f aca="false">1/(1+$S$1)^A18</f>
        <v>0.867666994976245</v>
      </c>
      <c r="E18" s="23" t="n">
        <f aca="false">C18*D18</f>
        <v>58.2250174413344</v>
      </c>
      <c r="F18" s="23" t="n">
        <f aca="false">F17+E18</f>
        <v>1932.7637423565</v>
      </c>
      <c r="G18" s="17" t="n">
        <f aca="false">Assumptions!$C$22^A18</f>
        <v>0.00968890104069999</v>
      </c>
      <c r="H18" s="23" t="n">
        <f aca="false">Assumptions!$C$17*Assumptions!$C$20*G18</f>
        <v>0.581334062442</v>
      </c>
      <c r="I18" s="24" t="n">
        <f aca="false">1/(1+$S$1)^A18</f>
        <v>0.867666994976245</v>
      </c>
      <c r="J18" s="23" t="n">
        <f aca="false">H18*I18</f>
        <v>0.504404379036383</v>
      </c>
      <c r="K18" s="23" t="n">
        <f aca="false">K17+J18</f>
        <v>193.922022907678</v>
      </c>
      <c r="L18" s="17" t="n">
        <f aca="false">Assumptions!$D$22^A18</f>
        <v>0.0001220703125</v>
      </c>
      <c r="M18" s="23" t="n">
        <f aca="false">Assumptions!$D$17*Assumptions!$D$20*L18</f>
        <v>0.00263671875</v>
      </c>
      <c r="N18" s="24" t="n">
        <f aca="false">1/(1+$S$1)^A18</f>
        <v>0.867666994976245</v>
      </c>
      <c r="O18" s="23" t="n">
        <f aca="false">M18*N18</f>
        <v>0.00228779383441002</v>
      </c>
      <c r="P18" s="23" t="n">
        <f aca="false">P17+O18</f>
        <v>42.7336654381458</v>
      </c>
    </row>
    <row r="19" customFormat="false" ht="15" hidden="false" customHeight="true" outlineLevel="0" collapsed="false">
      <c r="A19" s="22" t="n">
        <v>14</v>
      </c>
      <c r="B19" s="17" t="n">
        <f aca="false">Assumptions!$B$22^A19</f>
        <v>0.22876792454961</v>
      </c>
      <c r="C19" s="23" t="n">
        <f aca="false">Assumptions!$B$17*Assumptions!$B$20*B19</f>
        <v>60.3947320810971</v>
      </c>
      <c r="D19" s="24" t="n">
        <f aca="false">1/(1+$S$1)^A19</f>
        <v>0.858244456155062</v>
      </c>
      <c r="E19" s="23" t="n">
        <f aca="false">C19*D19</f>
        <v>51.8334439895718</v>
      </c>
      <c r="F19" s="23" t="n">
        <f aca="false">F18+E19</f>
        <v>1984.59718634607</v>
      </c>
      <c r="G19" s="17" t="n">
        <f aca="false">Assumptions!$C$22^A19</f>
        <v>0.00678223072848999</v>
      </c>
      <c r="H19" s="23" t="n">
        <f aca="false">Assumptions!$C$17*Assumptions!$C$20*G19</f>
        <v>0.4069338437094</v>
      </c>
      <c r="I19" s="24" t="n">
        <f aca="false">1/(1+$S$1)^A19</f>
        <v>0.858244456155062</v>
      </c>
      <c r="J19" s="23" t="n">
        <f aca="false">H19*I19</f>
        <v>0.349248715385463</v>
      </c>
      <c r="K19" s="23" t="n">
        <f aca="false">K18+J19</f>
        <v>194.271271623063</v>
      </c>
      <c r="L19" s="17" t="n">
        <f aca="false">Assumptions!$D$22^A19</f>
        <v>6.103515625E-005</v>
      </c>
      <c r="M19" s="23" t="n">
        <f aca="false">Assumptions!$D$17*Assumptions!$D$20*L19</f>
        <v>0.001318359375</v>
      </c>
      <c r="N19" s="24" t="n">
        <f aca="false">1/(1+$S$1)^A19</f>
        <v>0.858244456155062</v>
      </c>
      <c r="O19" s="23" t="n">
        <f aca="false">M19*N19</f>
        <v>0.0011314746248138</v>
      </c>
      <c r="P19" s="23" t="n">
        <f aca="false">P18+O19</f>
        <v>42.7347969127706</v>
      </c>
    </row>
    <row r="20" customFormat="false" ht="15" hidden="false" customHeight="true" outlineLevel="0" collapsed="false">
      <c r="A20" s="22" t="n">
        <v>15</v>
      </c>
      <c r="B20" s="17" t="n">
        <f aca="false">Assumptions!$B$22^A20</f>
        <v>0.205891132094649</v>
      </c>
      <c r="C20" s="23" t="n">
        <f aca="false">Assumptions!$B$17*Assumptions!$B$20*B20</f>
        <v>54.3552588729874</v>
      </c>
      <c r="D20" s="24" t="n">
        <f aca="false">1/(1+$S$1)^A20</f>
        <v>0.848924242578875</v>
      </c>
      <c r="E20" s="23" t="n">
        <f aca="false">C20*D20</f>
        <v>46.1434969689295</v>
      </c>
      <c r="F20" s="23" t="n">
        <f aca="false">F19+E20</f>
        <v>2030.740683315</v>
      </c>
      <c r="G20" s="17" t="n">
        <f aca="false">Assumptions!$C$22^A20</f>
        <v>0.004747561509943</v>
      </c>
      <c r="H20" s="23" t="n">
        <f aca="false">Assumptions!$C$17*Assumptions!$C$20*G20</f>
        <v>0.28485369059658</v>
      </c>
      <c r="I20" s="24" t="n">
        <f aca="false">1/(1+$S$1)^A20</f>
        <v>0.848924242578875</v>
      </c>
      <c r="J20" s="23" t="n">
        <f aca="false">H20*I20</f>
        <v>0.241819203535499</v>
      </c>
      <c r="K20" s="23" t="n">
        <f aca="false">K19+J20</f>
        <v>194.513090826599</v>
      </c>
      <c r="L20" s="17" t="n">
        <f aca="false">Assumptions!$D$22^A20</f>
        <v>3.0517578125E-005</v>
      </c>
      <c r="M20" s="23" t="n">
        <f aca="false">Assumptions!$D$17*Assumptions!$D$20*L20</f>
        <v>0.0006591796875</v>
      </c>
      <c r="N20" s="24" t="n">
        <f aca="false">1/(1+$S$1)^A20</f>
        <v>0.848924242578875</v>
      </c>
      <c r="O20" s="23" t="n">
        <f aca="false">M20*N20</f>
        <v>0.000559593616934317</v>
      </c>
      <c r="P20" s="23" t="n">
        <f aca="false">P19+O20</f>
        <v>42.7353565063875</v>
      </c>
    </row>
    <row r="21" customFormat="false" ht="15" hidden="false" customHeight="true" outlineLevel="0" collapsed="false">
      <c r="A21" s="22" t="n">
        <v>16</v>
      </c>
      <c r="B21" s="17" t="n">
        <f aca="false">Assumptions!$B$22^A21</f>
        <v>0.185302018885184</v>
      </c>
      <c r="C21" s="23" t="n">
        <f aca="false">Assumptions!$B$17*Assumptions!$B$20*B21</f>
        <v>48.9197329856886</v>
      </c>
      <c r="D21" s="24" t="n">
        <f aca="false">1/(1+$S$1)^A21</f>
        <v>0.839705243033822</v>
      </c>
      <c r="E21" s="23" t="n">
        <f aca="false">C21*D21</f>
        <v>41.0781562758974</v>
      </c>
      <c r="F21" s="23" t="n">
        <f aca="false">F20+E21</f>
        <v>2071.8188395909</v>
      </c>
      <c r="G21" s="17" t="n">
        <f aca="false">Assumptions!$C$22^A21</f>
        <v>0.0033232930569601</v>
      </c>
      <c r="H21" s="23" t="n">
        <f aca="false">Assumptions!$C$17*Assumptions!$C$20*G21</f>
        <v>0.199397583417606</v>
      </c>
      <c r="I21" s="24" t="n">
        <f aca="false">1/(1+$S$1)^A21</f>
        <v>0.839705243033822</v>
      </c>
      <c r="J21" s="23" t="n">
        <f aca="false">H21*I21</f>
        <v>0.167435196244038</v>
      </c>
      <c r="K21" s="23" t="n">
        <f aca="false">K20+J21</f>
        <v>194.680526022843</v>
      </c>
      <c r="L21" s="17" t="n">
        <f aca="false">Assumptions!$D$22^A21</f>
        <v>1.52587890625E-005</v>
      </c>
      <c r="M21" s="23" t="n">
        <f aca="false">Assumptions!$D$17*Assumptions!$D$20*L21</f>
        <v>0.00032958984375</v>
      </c>
      <c r="N21" s="24" t="n">
        <f aca="false">1/(1+$S$1)^A21</f>
        <v>0.839705243033822</v>
      </c>
      <c r="O21" s="23" t="n">
        <f aca="false">M21*N21</f>
        <v>0.000276758319847573</v>
      </c>
      <c r="P21" s="23" t="n">
        <f aca="false">P20+O21</f>
        <v>42.7356332647074</v>
      </c>
    </row>
    <row r="22" customFormat="false" ht="15" hidden="false" customHeight="true" outlineLevel="0" collapsed="false">
      <c r="A22" s="22" t="n">
        <v>17</v>
      </c>
      <c r="B22" s="17" t="n">
        <f aca="false">Assumptions!$B$22^A22</f>
        <v>0.166771816996666</v>
      </c>
      <c r="C22" s="23" t="n">
        <f aca="false">Assumptions!$B$17*Assumptions!$B$20*B22</f>
        <v>44.0277596871198</v>
      </c>
      <c r="D22" s="24" t="n">
        <f aca="false">1/(1+$S$1)^A22</f>
        <v>0.830586358373407</v>
      </c>
      <c r="E22" s="23" t="n">
        <f aca="false">C22*D22</f>
        <v>36.5688565858643</v>
      </c>
      <c r="F22" s="23" t="n">
        <f aca="false">F21+E22</f>
        <v>2108.38769617676</v>
      </c>
      <c r="G22" s="17" t="n">
        <f aca="false">Assumptions!$C$22^A22</f>
        <v>0.00232630513987207</v>
      </c>
      <c r="H22" s="23" t="n">
        <f aca="false">Assumptions!$C$17*Assumptions!$C$20*G22</f>
        <v>0.139578308392324</v>
      </c>
      <c r="I22" s="24" t="n">
        <f aca="false">1/(1+$S$1)^A22</f>
        <v>0.830586358373407</v>
      </c>
      <c r="J22" s="23" t="n">
        <f aca="false">H22*I22</f>
        <v>0.115931838875501</v>
      </c>
      <c r="K22" s="23" t="n">
        <f aca="false">K21+J22</f>
        <v>194.796457861718</v>
      </c>
      <c r="L22" s="17" t="n">
        <f aca="false">Assumptions!$D$22^A22</f>
        <v>7.62939453125E-006</v>
      </c>
      <c r="M22" s="23" t="n">
        <f aca="false">Assumptions!$D$17*Assumptions!$D$20*L22</f>
        <v>0.000164794921875</v>
      </c>
      <c r="N22" s="24" t="n">
        <f aca="false">1/(1+$S$1)^A22</f>
        <v>0.830586358373407</v>
      </c>
      <c r="O22" s="23" t="n">
        <f aca="false">M22*N22</f>
        <v>0.000136876414038586</v>
      </c>
      <c r="P22" s="23" t="n">
        <f aca="false">P21+O22</f>
        <v>42.7357701411214</v>
      </c>
    </row>
    <row r="23" customFormat="false" ht="15" hidden="false" customHeight="true" outlineLevel="0" collapsed="false">
      <c r="A23" s="22" t="n">
        <v>18</v>
      </c>
      <c r="B23" s="17" t="n">
        <f aca="false">Assumptions!$B$22^A23</f>
        <v>0.150094635296999</v>
      </c>
      <c r="C23" s="23" t="n">
        <f aca="false">Assumptions!$B$17*Assumptions!$B$20*B23</f>
        <v>39.6249837184078</v>
      </c>
      <c r="D23" s="24" t="n">
        <f aca="false">1/(1+$S$1)^A23</f>
        <v>0.821566501387452</v>
      </c>
      <c r="E23" s="23" t="n">
        <f aca="false">C23*D23</f>
        <v>32.554559241067</v>
      </c>
      <c r="F23" s="23" t="n">
        <f aca="false">F22+E23</f>
        <v>2140.94225541783</v>
      </c>
      <c r="G23" s="17" t="n">
        <f aca="false">Assumptions!$C$22^A23</f>
        <v>0.00162841359791045</v>
      </c>
      <c r="H23" s="23" t="n">
        <f aca="false">Assumptions!$C$17*Assumptions!$C$20*G23</f>
        <v>0.0977048158746268</v>
      </c>
      <c r="I23" s="24" t="n">
        <f aca="false">1/(1+$S$1)^A23</f>
        <v>0.821566501387452</v>
      </c>
      <c r="J23" s="23" t="n">
        <f aca="false">H23*I23</f>
        <v>0.0802710037468224</v>
      </c>
      <c r="K23" s="23" t="n">
        <f aca="false">K22+J23</f>
        <v>194.876728865465</v>
      </c>
      <c r="L23" s="17" t="n">
        <f aca="false">Assumptions!$D$22^A23</f>
        <v>3.814697265625E-006</v>
      </c>
      <c r="M23" s="23" t="n">
        <f aca="false">Assumptions!$D$17*Assumptions!$D$20*L23</f>
        <v>8.23974609375E-005</v>
      </c>
      <c r="N23" s="24" t="n">
        <f aca="false">1/(1+$S$1)^A23</f>
        <v>0.821566501387452</v>
      </c>
      <c r="O23" s="23" t="n">
        <f aca="false">M23*N23</f>
        <v>6.76949937056311E-005</v>
      </c>
      <c r="P23" s="23" t="n">
        <f aca="false">P22+O23</f>
        <v>42.7358378361151</v>
      </c>
    </row>
    <row r="24" customFormat="false" ht="15" hidden="false" customHeight="true" outlineLevel="0" collapsed="false">
      <c r="A24" s="22" t="n">
        <v>19</v>
      </c>
      <c r="B24" s="17" t="n">
        <f aca="false">Assumptions!$B$22^A24</f>
        <v>0.135085171767299</v>
      </c>
      <c r="C24" s="23" t="n">
        <f aca="false">Assumptions!$B$17*Assumptions!$B$20*B24</f>
        <v>35.662485346567</v>
      </c>
      <c r="D24" s="24" t="n">
        <f aca="false">1/(1+$S$1)^A24</f>
        <v>0.812644596672477</v>
      </c>
      <c r="E24" s="23" t="n">
        <f aca="false">C24*D24</f>
        <v>28.9809260207991</v>
      </c>
      <c r="F24" s="23" t="n">
        <f aca="false">F23+E24</f>
        <v>2169.92318143863</v>
      </c>
      <c r="G24" s="17" t="n">
        <f aca="false">Assumptions!$C$22^A24</f>
        <v>0.00113988951853731</v>
      </c>
      <c r="H24" s="23" t="n">
        <f aca="false">Assumptions!$C$17*Assumptions!$C$20*G24</f>
        <v>0.0683933711122388</v>
      </c>
      <c r="I24" s="24" t="n">
        <f aca="false">1/(1+$S$1)^A24</f>
        <v>0.812644596672477</v>
      </c>
      <c r="J24" s="23" t="n">
        <f aca="false">H24*I24</f>
        <v>0.0555795034825763</v>
      </c>
      <c r="K24" s="23" t="n">
        <f aca="false">K23+J24</f>
        <v>194.932308368948</v>
      </c>
      <c r="L24" s="17" t="n">
        <f aca="false">Assumptions!$D$22^A24</f>
        <v>1.9073486328125E-006</v>
      </c>
      <c r="M24" s="23" t="n">
        <f aca="false">Assumptions!$D$17*Assumptions!$D$20*L24</f>
        <v>4.119873046875E-005</v>
      </c>
      <c r="N24" s="24" t="n">
        <f aca="false">1/(1+$S$1)^A24</f>
        <v>0.812644596672477</v>
      </c>
      <c r="O24" s="23" t="n">
        <f aca="false">M24*N24</f>
        <v>3.34799257051954E-005</v>
      </c>
      <c r="P24" s="23" t="n">
        <f aca="false">P23+O24</f>
        <v>42.7358713160408</v>
      </c>
    </row>
    <row r="25" customFormat="false" ht="15" hidden="false" customHeight="true" outlineLevel="0" collapsed="false">
      <c r="A25" s="22" t="n">
        <v>20</v>
      </c>
      <c r="B25" s="17" t="n">
        <f aca="false">Assumptions!$B$22^A25</f>
        <v>0.121576654590569</v>
      </c>
      <c r="C25" s="23" t="n">
        <f aca="false">Assumptions!$B$17*Assumptions!$B$20*B25</f>
        <v>32.0962368119103</v>
      </c>
      <c r="D25" s="24" t="n">
        <f aca="false">1/(1+$S$1)^A25</f>
        <v>0.803819580503478</v>
      </c>
      <c r="E25" s="23" t="n">
        <f aca="false">C25*D25</f>
        <v>25.79958360989</v>
      </c>
      <c r="F25" s="23" t="n">
        <f aca="false">F24+E25</f>
        <v>2195.72276504852</v>
      </c>
      <c r="G25" s="17" t="n">
        <f aca="false">Assumptions!$C$22^A25</f>
        <v>0.000797922662976119</v>
      </c>
      <c r="H25" s="23" t="n">
        <f aca="false">Assumptions!$C$17*Assumptions!$C$20*G25</f>
        <v>0.0478753597785671</v>
      </c>
      <c r="I25" s="24" t="n">
        <f aca="false">1/(1+$S$1)^A25</f>
        <v>0.803819580503478</v>
      </c>
      <c r="J25" s="23" t="n">
        <f aca="false">H25*I25</f>
        <v>0.0384831516136609</v>
      </c>
      <c r="K25" s="23" t="n">
        <f aca="false">K24+J25</f>
        <v>194.970791520562</v>
      </c>
      <c r="L25" s="17" t="n">
        <f aca="false">Assumptions!$D$22^A25</f>
        <v>9.5367431640625E-007</v>
      </c>
      <c r="M25" s="23" t="n">
        <f aca="false">Assumptions!$D$17*Assumptions!$D$20*L25</f>
        <v>2.0599365234375E-005</v>
      </c>
      <c r="N25" s="24" t="n">
        <f aca="false">1/(1+$S$1)^A25</f>
        <v>0.803819580503478</v>
      </c>
      <c r="O25" s="23" t="n">
        <f aca="false">M25*N25</f>
        <v>1.65581731213333E-005</v>
      </c>
      <c r="P25" s="23" t="n">
        <f aca="false">P24+O25</f>
        <v>42.735887874214</v>
      </c>
    </row>
    <row r="26" customFormat="false" ht="15" hidden="false" customHeight="true" outlineLevel="0" collapsed="false">
      <c r="A26" s="22" t="n">
        <v>21</v>
      </c>
      <c r="B26" s="17" t="n">
        <f aca="false">Assumptions!$B$22^A26</f>
        <v>0.109418989131512</v>
      </c>
      <c r="C26" s="23" t="n">
        <f aca="false">Assumptions!$B$17*Assumptions!$B$20*B26</f>
        <v>28.8866131307193</v>
      </c>
      <c r="D26" s="24" t="n">
        <f aca="false">1/(1+$S$1)^A26</f>
        <v>0.795090400707111</v>
      </c>
      <c r="E26" s="23" t="n">
        <f aca="false">C26*D26</f>
        <v>22.9674688091749</v>
      </c>
      <c r="F26" s="23" t="n">
        <f aca="false">F25+E26</f>
        <v>2218.69023385769</v>
      </c>
      <c r="G26" s="17" t="n">
        <f aca="false">Assumptions!$C$22^A26</f>
        <v>0.000558545864083283</v>
      </c>
      <c r="H26" s="23" t="n">
        <f aca="false">Assumptions!$C$17*Assumptions!$C$20*G26</f>
        <v>0.033512751844997</v>
      </c>
      <c r="I26" s="24" t="n">
        <f aca="false">1/(1+$S$1)^A26</f>
        <v>0.795090400707111</v>
      </c>
      <c r="J26" s="23" t="n">
        <f aca="false">H26*I26</f>
        <v>0.0266456672932366</v>
      </c>
      <c r="K26" s="23" t="n">
        <f aca="false">K25+J26</f>
        <v>194.997437187855</v>
      </c>
      <c r="L26" s="17" t="n">
        <f aca="false">Assumptions!$D$22^A26</f>
        <v>4.76837158203125E-007</v>
      </c>
      <c r="M26" s="23" t="n">
        <f aca="false">Assumptions!$D$17*Assumptions!$D$20*L26</f>
        <v>1.02996826171875E-005</v>
      </c>
      <c r="N26" s="24" t="n">
        <f aca="false">1/(1+$S$1)^A26</f>
        <v>0.795090400707111</v>
      </c>
      <c r="O26" s="23" t="n">
        <f aca="false">M26*N26</f>
        <v>8.18917877925567E-006</v>
      </c>
      <c r="P26" s="23" t="n">
        <f aca="false">P25+O26</f>
        <v>42.7358960633927</v>
      </c>
    </row>
    <row r="27" customFormat="false" ht="15" hidden="false" customHeight="true" outlineLevel="0" collapsed="false">
      <c r="A27" s="22" t="n">
        <v>22</v>
      </c>
      <c r="B27" s="17" t="n">
        <f aca="false">Assumptions!$B$22^A27</f>
        <v>0.0984770902183612</v>
      </c>
      <c r="C27" s="23" t="n">
        <f aca="false">Assumptions!$B$17*Assumptions!$B$20*B27</f>
        <v>25.9979518176474</v>
      </c>
      <c r="D27" s="24" t="n">
        <f aca="false">1/(1+$S$1)^A27</f>
        <v>0.786456016536236</v>
      </c>
      <c r="E27" s="23" t="n">
        <f aca="false">C27*D27</f>
        <v>20.4462456246079</v>
      </c>
      <c r="F27" s="23" t="n">
        <f aca="false">F26+E27</f>
        <v>2239.1364794823</v>
      </c>
      <c r="G27" s="17" t="n">
        <f aca="false">Assumptions!$C$22^A27</f>
        <v>0.000390982104858298</v>
      </c>
      <c r="H27" s="23" t="n">
        <f aca="false">Assumptions!$C$17*Assumptions!$C$20*G27</f>
        <v>0.0234589262914979</v>
      </c>
      <c r="I27" s="24" t="n">
        <f aca="false">1/(1+$S$1)^A27</f>
        <v>0.786456016536236</v>
      </c>
      <c r="J27" s="23" t="n">
        <f aca="false">H27*I27</f>
        <v>0.0184494137234286</v>
      </c>
      <c r="K27" s="23" t="n">
        <f aca="false">K26+J27</f>
        <v>195.015886601578</v>
      </c>
      <c r="L27" s="17" t="n">
        <f aca="false">Assumptions!$D$22^A27</f>
        <v>2.38418579101563E-007</v>
      </c>
      <c r="M27" s="23" t="n">
        <f aca="false">Assumptions!$D$17*Assumptions!$D$20*L27</f>
        <v>5.14984130859375E-006</v>
      </c>
      <c r="N27" s="24" t="n">
        <f aca="false">1/(1+$S$1)^A27</f>
        <v>0.786456016536236</v>
      </c>
      <c r="O27" s="23" t="n">
        <f aca="false">M27*N27</f>
        <v>4.0501236813504E-006</v>
      </c>
      <c r="P27" s="23" t="n">
        <f aca="false">P26+O27</f>
        <v>42.7359001135164</v>
      </c>
    </row>
    <row r="28" customFormat="false" ht="15" hidden="false" customHeight="true" outlineLevel="0" collapsed="false">
      <c r="A28" s="22" t="n">
        <v>23</v>
      </c>
      <c r="B28" s="17" t="n">
        <f aca="false">Assumptions!$B$22^A28</f>
        <v>0.0886293811965251</v>
      </c>
      <c r="C28" s="23" t="n">
        <f aca="false">Assumptions!$B$17*Assumptions!$B$20*B28</f>
        <v>23.3981566358826</v>
      </c>
      <c r="D28" s="24" t="n">
        <f aca="false">1/(1+$S$1)^A28</f>
        <v>0.777915398545842</v>
      </c>
      <c r="E28" s="23" t="n">
        <f aca="false">C28*D28</f>
        <v>18.2017863446407</v>
      </c>
      <c r="F28" s="23" t="n">
        <f aca="false">F27+E28</f>
        <v>2257.33826582694</v>
      </c>
      <c r="G28" s="17" t="n">
        <f aca="false">Assumptions!$C$22^A28</f>
        <v>0.000273687473400809</v>
      </c>
      <c r="H28" s="23" t="n">
        <f aca="false">Assumptions!$C$17*Assumptions!$C$20*G28</f>
        <v>0.0164212484040485</v>
      </c>
      <c r="I28" s="24" t="n">
        <f aca="false">1/(1+$S$1)^A28</f>
        <v>0.777915398545842</v>
      </c>
      <c r="J28" s="23" t="n">
        <f aca="false">H28*I28</f>
        <v>0.0127743419968557</v>
      </c>
      <c r="K28" s="23" t="n">
        <f aca="false">K27+J28</f>
        <v>195.028660943575</v>
      </c>
      <c r="L28" s="17" t="n">
        <f aca="false">Assumptions!$D$22^A28</f>
        <v>1.19209289550781E-007</v>
      </c>
      <c r="M28" s="23" t="n">
        <f aca="false">Assumptions!$D$17*Assumptions!$D$20*L28</f>
        <v>2.57492065429688E-006</v>
      </c>
      <c r="N28" s="24" t="n">
        <f aca="false">1/(1+$S$1)^A28</f>
        <v>0.777915398545842</v>
      </c>
      <c r="O28" s="23" t="n">
        <f aca="false">M28*N28</f>
        <v>2.00307042701127E-006</v>
      </c>
      <c r="P28" s="23" t="n">
        <f aca="false">P27+O28</f>
        <v>42.7359021165868</v>
      </c>
    </row>
    <row r="29" customFormat="false" ht="15" hidden="false" customHeight="true" outlineLevel="0" collapsed="false">
      <c r="A29" s="22" t="n">
        <v>24</v>
      </c>
      <c r="B29" s="17" t="n">
        <f aca="false">Assumptions!$B$22^A29</f>
        <v>0.0797664430768726</v>
      </c>
      <c r="C29" s="23" t="n">
        <f aca="false">Assumptions!$B$17*Assumptions!$B$20*B29</f>
        <v>21.0583409722944</v>
      </c>
      <c r="D29" s="24" t="n">
        <f aca="false">1/(1+$S$1)^A29</f>
        <v>0.7694675284703</v>
      </c>
      <c r="E29" s="23" t="n">
        <f aca="false">C29*D29</f>
        <v>16.2037095816362</v>
      </c>
      <c r="F29" s="23" t="n">
        <f aca="false">F28+E29</f>
        <v>2273.54197540858</v>
      </c>
      <c r="G29" s="17" t="n">
        <f aca="false">Assumptions!$C$22^A29</f>
        <v>0.000191581231380566</v>
      </c>
      <c r="H29" s="23" t="n">
        <f aca="false">Assumptions!$C$17*Assumptions!$C$20*G29</f>
        <v>0.011494873882834</v>
      </c>
      <c r="I29" s="24" t="n">
        <f aca="false">1/(1+$S$1)^A29</f>
        <v>0.7694675284703</v>
      </c>
      <c r="J29" s="23" t="n">
        <f aca="false">H29*I29</f>
        <v>0.00884493219670205</v>
      </c>
      <c r="K29" s="23" t="n">
        <f aca="false">K28+J29</f>
        <v>195.037505875772</v>
      </c>
      <c r="L29" s="17" t="n">
        <f aca="false">Assumptions!$D$22^A29</f>
        <v>5.96046447753906E-008</v>
      </c>
      <c r="M29" s="23" t="n">
        <f aca="false">Assumptions!$D$17*Assumptions!$D$20*L29</f>
        <v>1.28746032714844E-006</v>
      </c>
      <c r="N29" s="24" t="n">
        <f aca="false">1/(1+$S$1)^A29</f>
        <v>0.7694675284703</v>
      </c>
      <c r="O29" s="23" t="n">
        <f aca="false">M29*N29</f>
        <v>9.90658915934472E-007</v>
      </c>
      <c r="P29" s="23" t="n">
        <f aca="false">P28+O29</f>
        <v>42.7359031072458</v>
      </c>
    </row>
    <row r="30" customFormat="false" ht="15" hidden="false" customHeight="true" outlineLevel="0" collapsed="false">
      <c r="A30" s="22" t="n">
        <v>25</v>
      </c>
      <c r="B30" s="17" t="n">
        <f aca="false">Assumptions!$B$22^A30</f>
        <v>0.0717897987691853</v>
      </c>
      <c r="C30" s="23" t="n">
        <f aca="false">Assumptions!$B$17*Assumptions!$B$20*B30</f>
        <v>18.9525068750649</v>
      </c>
      <c r="D30" s="24" t="n">
        <f aca="false">1/(1+$S$1)^A30</f>
        <v>0.76111139910197</v>
      </c>
      <c r="E30" s="23" t="n">
        <f aca="false">C30*D30</f>
        <v>14.4249690241704</v>
      </c>
      <c r="F30" s="23" t="n">
        <f aca="false">F29+E30</f>
        <v>2287.96694443275</v>
      </c>
      <c r="G30" s="17" t="n">
        <f aca="false">Assumptions!$C$22^A30</f>
        <v>0.000134106861966396</v>
      </c>
      <c r="H30" s="23" t="n">
        <f aca="false">Assumptions!$C$17*Assumptions!$C$20*G30</f>
        <v>0.00804641171798378</v>
      </c>
      <c r="I30" s="24" t="n">
        <f aca="false">1/(1+$S$1)^A30</f>
        <v>0.76111139910197</v>
      </c>
      <c r="J30" s="23" t="n">
        <f aca="false">H30*I30</f>
        <v>0.00612421568042512</v>
      </c>
      <c r="K30" s="23" t="n">
        <f aca="false">K29+J30</f>
        <v>195.043630091452</v>
      </c>
      <c r="L30" s="17" t="n">
        <f aca="false">Assumptions!$D$22^A30</f>
        <v>2.98023223876953E-008</v>
      </c>
      <c r="M30" s="23" t="n">
        <f aca="false">Assumptions!$D$17*Assumptions!$D$20*L30</f>
        <v>6.43730163574219E-007</v>
      </c>
      <c r="N30" s="24" t="n">
        <f aca="false">1/(1+$S$1)^A30</f>
        <v>0.76111139910197</v>
      </c>
      <c r="O30" s="23" t="n">
        <f aca="false">M30*N30</f>
        <v>4.89950365442114E-007</v>
      </c>
      <c r="P30" s="23" t="n">
        <f aca="false">P29+O30</f>
        <v>42.7359035971961</v>
      </c>
    </row>
    <row r="31" customFormat="false" ht="15" hidden="false" customHeight="true" outlineLevel="0" collapsed="false">
      <c r="A31" s="22" t="n">
        <v>26</v>
      </c>
      <c r="B31" s="17" t="n">
        <f aca="false">Assumptions!$B$22^A31</f>
        <v>0.0646108188922668</v>
      </c>
      <c r="C31" s="23" t="n">
        <f aca="false">Assumptions!$B$17*Assumptions!$B$20*B31</f>
        <v>17.0572561875584</v>
      </c>
      <c r="D31" s="24" t="n">
        <f aca="false">1/(1+$S$1)^A31</f>
        <v>0.752846014171107</v>
      </c>
      <c r="E31" s="23" t="n">
        <f aca="false">C31*D31</f>
        <v>12.8414873334988</v>
      </c>
      <c r="F31" s="23" t="n">
        <f aca="false">F30+E31</f>
        <v>2300.80843176625</v>
      </c>
      <c r="G31" s="17" t="n">
        <f aca="false">Assumptions!$C$22^A31</f>
        <v>9.38748033764774E-005</v>
      </c>
      <c r="H31" s="23" t="n">
        <f aca="false">Assumptions!$C$17*Assumptions!$C$20*G31</f>
        <v>0.00563248820258864</v>
      </c>
      <c r="I31" s="24" t="n">
        <f aca="false">1/(1+$S$1)^A31</f>
        <v>0.752846014171107</v>
      </c>
      <c r="J31" s="23" t="n">
        <f aca="false">H31*I31</f>
        <v>0.00424039629318465</v>
      </c>
      <c r="K31" s="23" t="n">
        <f aca="false">K30+J31</f>
        <v>195.047870487745</v>
      </c>
      <c r="L31" s="17" t="n">
        <f aca="false">Assumptions!$D$22^A31</f>
        <v>1.49011611938477E-008</v>
      </c>
      <c r="M31" s="23" t="n">
        <f aca="false">Assumptions!$D$17*Assumptions!$D$20*L31</f>
        <v>3.21865081787109E-007</v>
      </c>
      <c r="N31" s="24" t="n">
        <f aca="false">1/(1+$S$1)^A31</f>
        <v>0.752846014171107</v>
      </c>
      <c r="O31" s="23" t="n">
        <f aca="false">M31*N31</f>
        <v>2.42314843924283E-007</v>
      </c>
      <c r="P31" s="23" t="n">
        <f aca="false">P30+O31</f>
        <v>42.735903839511</v>
      </c>
    </row>
    <row r="32" customFormat="false" ht="15" hidden="false" customHeight="true" outlineLevel="0" collapsed="false">
      <c r="A32" s="22" t="n">
        <v>27</v>
      </c>
      <c r="B32" s="17" t="n">
        <f aca="false">Assumptions!$B$22^A32</f>
        <v>0.0581497370030401</v>
      </c>
      <c r="C32" s="23" t="n">
        <f aca="false">Assumptions!$B$17*Assumptions!$B$20*B32</f>
        <v>15.3515305688026</v>
      </c>
      <c r="D32" s="24" t="n">
        <f aca="false">1/(1+$S$1)^A32</f>
        <v>0.744670388227084</v>
      </c>
      <c r="E32" s="23" t="n">
        <f aca="false">C32*D32</f>
        <v>11.4318302285502</v>
      </c>
      <c r="F32" s="23" t="n">
        <f aca="false">F31+E32</f>
        <v>2312.2402619948</v>
      </c>
      <c r="G32" s="17" t="n">
        <f aca="false">Assumptions!$C$22^A32</f>
        <v>6.57123623635342E-005</v>
      </c>
      <c r="H32" s="23" t="n">
        <f aca="false">Assumptions!$C$17*Assumptions!$C$20*G32</f>
        <v>0.00394274174181205</v>
      </c>
      <c r="I32" s="24" t="n">
        <f aca="false">1/(1+$S$1)^A32</f>
        <v>0.744670388227084</v>
      </c>
      <c r="J32" s="23" t="n">
        <f aca="false">H32*I32</f>
        <v>0.00293604302355431</v>
      </c>
      <c r="K32" s="23" t="n">
        <f aca="false">K31+J32</f>
        <v>195.050806530769</v>
      </c>
      <c r="L32" s="17" t="n">
        <f aca="false">Assumptions!$D$22^A32</f>
        <v>7.45058059692383E-009</v>
      </c>
      <c r="M32" s="23" t="n">
        <f aca="false">Assumptions!$D$17*Assumptions!$D$20*L32</f>
        <v>1.60932540893555E-007</v>
      </c>
      <c r="N32" s="24" t="n">
        <f aca="false">1/(1+$S$1)^A32</f>
        <v>0.744670388227084</v>
      </c>
      <c r="O32" s="23" t="n">
        <f aca="false">M32*N32</f>
        <v>1.19841697705574E-007</v>
      </c>
      <c r="P32" s="23" t="n">
        <f aca="false">P31+O32</f>
        <v>42.7359039593527</v>
      </c>
    </row>
    <row r="33" customFormat="false" ht="15" hidden="false" customHeight="true" outlineLevel="0" collapsed="false">
      <c r="A33" s="22" t="n">
        <v>28</v>
      </c>
      <c r="B33" s="17" t="n">
        <f aca="false">Assumptions!$B$22^A33</f>
        <v>0.0523347633027361</v>
      </c>
      <c r="C33" s="23" t="n">
        <f aca="false">Assumptions!$B$17*Assumptions!$B$20*B33</f>
        <v>13.8163775119223</v>
      </c>
      <c r="D33" s="24" t="n">
        <f aca="false">1/(1+$S$1)^A33</f>
        <v>0.736583546520897</v>
      </c>
      <c r="E33" s="23" t="n">
        <f aca="false">C33*D33</f>
        <v>10.1769163478033</v>
      </c>
      <c r="F33" s="23" t="n">
        <f aca="false">F32+E33</f>
        <v>2322.4171783426</v>
      </c>
      <c r="G33" s="17" t="n">
        <f aca="false">Assumptions!$C$22^A33</f>
        <v>4.59986536544739E-005</v>
      </c>
      <c r="H33" s="23" t="n">
        <f aca="false">Assumptions!$C$17*Assumptions!$C$20*G33</f>
        <v>0.00275991921926844</v>
      </c>
      <c r="I33" s="24" t="n">
        <f aca="false">1/(1+$S$1)^A33</f>
        <v>0.736583546520897</v>
      </c>
      <c r="J33" s="23" t="n">
        <f aca="false">H33*I33</f>
        <v>0.00203291108663993</v>
      </c>
      <c r="K33" s="23" t="n">
        <f aca="false">K32+J33</f>
        <v>195.052839441856</v>
      </c>
      <c r="L33" s="17" t="n">
        <f aca="false">Assumptions!$D$22^A33</f>
        <v>3.72529029846191E-009</v>
      </c>
      <c r="M33" s="23" t="n">
        <f aca="false">Assumptions!$D$17*Assumptions!$D$20*L33</f>
        <v>8.04662704467774E-008</v>
      </c>
      <c r="N33" s="24" t="n">
        <f aca="false">1/(1+$S$1)^A33</f>
        <v>0.736583546520897</v>
      </c>
      <c r="O33" s="23" t="n">
        <f aca="false">M33*N33</f>
        <v>5.92701308609969E-008</v>
      </c>
      <c r="P33" s="23" t="n">
        <f aca="false">P32+O33</f>
        <v>42.7359040186228</v>
      </c>
    </row>
    <row r="34" customFormat="false" ht="15" hidden="false" customHeight="true" outlineLevel="0" collapsed="false">
      <c r="A34" s="22" t="n">
        <v>29</v>
      </c>
      <c r="B34" s="17" t="n">
        <f aca="false">Assumptions!$B$22^A34</f>
        <v>0.0471012869724625</v>
      </c>
      <c r="C34" s="23" t="n">
        <f aca="false">Assumptions!$B$17*Assumptions!$B$20*B34</f>
        <v>12.4347397607301</v>
      </c>
      <c r="D34" s="24" t="n">
        <f aca="false">1/(1+$S$1)^A34</f>
        <v>0.728584524888954</v>
      </c>
      <c r="E34" s="23" t="n">
        <f aca="false">C34*D34</f>
        <v>9.05975896068933</v>
      </c>
      <c r="F34" s="23" t="n">
        <f aca="false">F33+E34</f>
        <v>2331.47693730329</v>
      </c>
      <c r="G34" s="17" t="n">
        <f aca="false">Assumptions!$C$22^A34</f>
        <v>3.21990575581317E-005</v>
      </c>
      <c r="H34" s="23" t="n">
        <f aca="false">Assumptions!$C$17*Assumptions!$C$20*G34</f>
        <v>0.0019319434534879</v>
      </c>
      <c r="I34" s="24" t="n">
        <f aca="false">1/(1+$S$1)^A34</f>
        <v>0.728584524888954</v>
      </c>
      <c r="J34" s="23" t="n">
        <f aca="false">H34*I34</f>
        <v>0.00140758410317181</v>
      </c>
      <c r="K34" s="23" t="n">
        <f aca="false">K33+J34</f>
        <v>195.054247025959</v>
      </c>
      <c r="L34" s="17" t="n">
        <f aca="false">Assumptions!$D$22^A34</f>
        <v>1.86264514923096E-009</v>
      </c>
      <c r="M34" s="23" t="n">
        <f aca="false">Assumptions!$D$17*Assumptions!$D$20*L34</f>
        <v>4.02331352233887E-008</v>
      </c>
      <c r="N34" s="24" t="n">
        <f aca="false">1/(1+$S$1)^A34</f>
        <v>0.728584524888954</v>
      </c>
      <c r="O34" s="23" t="n">
        <f aca="false">M34*N34</f>
        <v>2.93132397115257E-008</v>
      </c>
      <c r="P34" s="23" t="n">
        <f aca="false">P33+O34</f>
        <v>42.735904047936</v>
      </c>
    </row>
    <row r="35" customFormat="false" ht="15" hidden="false" customHeight="true" outlineLevel="0" collapsed="false">
      <c r="A35" s="22" t="n">
        <v>30</v>
      </c>
      <c r="B35" s="17" t="n">
        <f aca="false">Assumptions!$B$22^A35</f>
        <v>0.0423911582752162</v>
      </c>
      <c r="C35" s="23" t="n">
        <f aca="false">Assumptions!$B$17*Assumptions!$B$20*B35</f>
        <v>11.1912657846571</v>
      </c>
      <c r="D35" s="24" t="n">
        <f aca="false">1/(1+$S$1)^A35</f>
        <v>0.720672369638117</v>
      </c>
      <c r="E35" s="23" t="n">
        <f aca="false">C35*D35</f>
        <v>8.0652360322788</v>
      </c>
      <c r="F35" s="23" t="n">
        <f aca="false">F34+E35</f>
        <v>2339.54217333557</v>
      </c>
      <c r="G35" s="17" t="n">
        <f aca="false">Assumptions!$C$22^A35</f>
        <v>2.25393402906922E-005</v>
      </c>
      <c r="H35" s="23" t="n">
        <f aca="false">Assumptions!$C$17*Assumptions!$C$20*G35</f>
        <v>0.00135236041744153</v>
      </c>
      <c r="I35" s="24" t="n">
        <f aca="false">1/(1+$S$1)^A35</f>
        <v>0.720672369638117</v>
      </c>
      <c r="J35" s="23" t="n">
        <f aca="false">H35*I35</f>
        <v>0.000974608786642382</v>
      </c>
      <c r="K35" s="23" t="n">
        <f aca="false">K34+J35</f>
        <v>195.055221634745</v>
      </c>
      <c r="L35" s="17" t="n">
        <f aca="false">Assumptions!$D$22^A35</f>
        <v>9.31322574615479E-010</v>
      </c>
      <c r="M35" s="23" t="n">
        <f aca="false">Assumptions!$D$17*Assumptions!$D$20*L35</f>
        <v>2.01165676116943E-008</v>
      </c>
      <c r="N35" s="24" t="n">
        <f aca="false">1/(1+$S$1)^A35</f>
        <v>0.720672369638117</v>
      </c>
      <c r="O35" s="23" t="n">
        <f aca="false">M35*N35</f>
        <v>1.44974544497051E-008</v>
      </c>
      <c r="P35" s="23" t="n">
        <f aca="false">P34+O35</f>
        <v>42.7359040624335</v>
      </c>
    </row>
    <row r="36" customFormat="false" ht="15" hidden="false" customHeight="true" outlineLevel="0" collapsed="false">
      <c r="A36" s="22" t="n">
        <v>31</v>
      </c>
      <c r="B36" s="17" t="n">
        <f aca="false">Assumptions!$B$22^A36</f>
        <v>0.0381520424476946</v>
      </c>
      <c r="C36" s="23" t="n">
        <f aca="false">Assumptions!$B$17*Assumptions!$B$20*B36</f>
        <v>10.0721392061914</v>
      </c>
      <c r="D36" s="24" t="n">
        <f aca="false">1/(1+$S$1)^A36</f>
        <v>0.712846137431998</v>
      </c>
      <c r="E36" s="23" t="n">
        <f aca="false">C36*D36</f>
        <v>7.17988552881091</v>
      </c>
      <c r="F36" s="23" t="n">
        <f aca="false">F35+E36</f>
        <v>2346.72205886438</v>
      </c>
      <c r="G36" s="17" t="n">
        <f aca="false">Assumptions!$C$22^A36</f>
        <v>1.57775382034846E-005</v>
      </c>
      <c r="H36" s="23" t="n">
        <f aca="false">Assumptions!$C$17*Assumptions!$C$20*G36</f>
        <v>0.000946652292209073</v>
      </c>
      <c r="I36" s="24" t="n">
        <f aca="false">1/(1+$S$1)^A36</f>
        <v>0.712846137431998</v>
      </c>
      <c r="J36" s="23" t="n">
        <f aca="false">H36*I36</f>
        <v>0.000674817429992385</v>
      </c>
      <c r="K36" s="23" t="n">
        <f aca="false">K35+J36</f>
        <v>195.055896452175</v>
      </c>
      <c r="L36" s="17" t="n">
        <f aca="false">Assumptions!$D$22^A36</f>
        <v>4.65661287307739E-010</v>
      </c>
      <c r="M36" s="23" t="n">
        <f aca="false">Assumptions!$D$17*Assumptions!$D$20*L36</f>
        <v>1.00582838058472E-008</v>
      </c>
      <c r="N36" s="24" t="n">
        <f aca="false">1/(1+$S$1)^A36</f>
        <v>0.712846137431998</v>
      </c>
      <c r="O36" s="23" t="n">
        <f aca="false">M36*N36</f>
        <v>7.17000876019297E-009</v>
      </c>
      <c r="P36" s="23" t="n">
        <f aca="false">P35+O36</f>
        <v>42.7359040696035</v>
      </c>
    </row>
    <row r="37" customFormat="false" ht="15" hidden="false" customHeight="true" outlineLevel="0" collapsed="false">
      <c r="A37" s="22" t="n">
        <v>32</v>
      </c>
      <c r="B37" s="17" t="n">
        <f aca="false">Assumptions!$B$22^A37</f>
        <v>0.0343368382029252</v>
      </c>
      <c r="C37" s="23" t="n">
        <f aca="false">Assumptions!$B$17*Assumptions!$B$20*B37</f>
        <v>9.06492528557224</v>
      </c>
      <c r="D37" s="24" t="n">
        <f aca="false">1/(1+$S$1)^A37</f>
        <v>0.705104895178491</v>
      </c>
      <c r="E37" s="23" t="n">
        <f aca="false">C37*D37</f>
        <v>6.39172319328426</v>
      </c>
      <c r="F37" s="23" t="n">
        <f aca="false">F36+E37</f>
        <v>2353.11378205766</v>
      </c>
      <c r="G37" s="17" t="n">
        <f aca="false">Assumptions!$C$22^A37</f>
        <v>1.10442767424392E-005</v>
      </c>
      <c r="H37" s="23" t="n">
        <f aca="false">Assumptions!$C$17*Assumptions!$C$20*G37</f>
        <v>0.000662656604546351</v>
      </c>
      <c r="I37" s="24" t="n">
        <f aca="false">1/(1+$S$1)^A37</f>
        <v>0.705104895178491</v>
      </c>
      <c r="J37" s="23" t="n">
        <f aca="false">H37*I37</f>
        <v>0.000467242415687989</v>
      </c>
      <c r="K37" s="23" t="n">
        <f aca="false">K36+J37</f>
        <v>195.056363694591</v>
      </c>
      <c r="L37" s="17" t="n">
        <f aca="false">Assumptions!$D$22^A37</f>
        <v>2.3283064365387E-010</v>
      </c>
      <c r="M37" s="23" t="n">
        <f aca="false">Assumptions!$D$17*Assumptions!$D$20*L37</f>
        <v>5.02914190292358E-009</v>
      </c>
      <c r="N37" s="24" t="n">
        <f aca="false">1/(1+$S$1)^A37</f>
        <v>0.705104895178491</v>
      </c>
      <c r="O37" s="23" t="n">
        <f aca="false">M37*N37</f>
        <v>3.54607257429869E-009</v>
      </c>
      <c r="P37" s="23" t="n">
        <f aca="false">P36+O37</f>
        <v>42.7359040731496</v>
      </c>
    </row>
    <row r="38" customFormat="false" ht="15" hidden="false" customHeight="true" outlineLevel="0" collapsed="false">
      <c r="A38" s="22" t="n">
        <v>33</v>
      </c>
      <c r="B38" s="17" t="n">
        <f aca="false">Assumptions!$B$22^A38</f>
        <v>0.0309031543826326</v>
      </c>
      <c r="C38" s="23" t="n">
        <f aca="false">Assumptions!$B$17*Assumptions!$B$20*B38</f>
        <v>8.15843275701502</v>
      </c>
      <c r="D38" s="24" t="n">
        <f aca="false">1/(1+$S$1)^A38</f>
        <v>0.697447719918519</v>
      </c>
      <c r="E38" s="23" t="n">
        <f aca="false">C38*D38</f>
        <v>5.69008032448868</v>
      </c>
      <c r="F38" s="23" t="n">
        <f aca="false">F37+E38</f>
        <v>2358.80386238215</v>
      </c>
      <c r="G38" s="17" t="n">
        <f aca="false">Assumptions!$C$22^A38</f>
        <v>7.73099371970743E-006</v>
      </c>
      <c r="H38" s="23" t="n">
        <f aca="false">Assumptions!$C$17*Assumptions!$C$20*G38</f>
        <v>0.000463859623182446</v>
      </c>
      <c r="I38" s="24" t="n">
        <f aca="false">1/(1+$S$1)^A38</f>
        <v>0.697447719918519</v>
      </c>
      <c r="J38" s="23" t="n">
        <f aca="false">H38*I38</f>
        <v>0.00032351783655086</v>
      </c>
      <c r="K38" s="23" t="n">
        <f aca="false">K37+J38</f>
        <v>195.056687212428</v>
      </c>
      <c r="L38" s="17" t="n">
        <f aca="false">Assumptions!$D$22^A38</f>
        <v>1.16415321826935E-010</v>
      </c>
      <c r="M38" s="23" t="n">
        <f aca="false">Assumptions!$D$17*Assumptions!$D$20*L38</f>
        <v>2.51457095146179E-009</v>
      </c>
      <c r="N38" s="24" t="n">
        <f aca="false">1/(1+$S$1)^A38</f>
        <v>0.697447719918519</v>
      </c>
      <c r="O38" s="23" t="n">
        <f aca="false">M38*N38</f>
        <v>1.75378177667037E-009</v>
      </c>
      <c r="P38" s="23" t="n">
        <f aca="false">P37+O38</f>
        <v>42.7359040749034</v>
      </c>
    </row>
    <row r="39" customFormat="false" ht="15" hidden="false" customHeight="true" outlineLevel="0" collapsed="false">
      <c r="A39" s="22" t="n">
        <v>34</v>
      </c>
      <c r="B39" s="17" t="n">
        <f aca="false">Assumptions!$B$22^A39</f>
        <v>0.0278128389443694</v>
      </c>
      <c r="C39" s="23" t="n">
        <f aca="false">Assumptions!$B$17*Assumptions!$B$20*B39</f>
        <v>7.34258948131352</v>
      </c>
      <c r="D39" s="24" t="n">
        <f aca="false">1/(1+$S$1)^A39</f>
        <v>0.689873698715998</v>
      </c>
      <c r="E39" s="23" t="n">
        <f aca="false">C39*D39</f>
        <v>5.06545936362693</v>
      </c>
      <c r="F39" s="23" t="n">
        <f aca="false">F38+E39</f>
        <v>2363.86932174578</v>
      </c>
      <c r="G39" s="17" t="n">
        <f aca="false">Assumptions!$C$22^A39</f>
        <v>5.4116956037952E-006</v>
      </c>
      <c r="H39" s="23" t="n">
        <f aca="false">Assumptions!$C$17*Assumptions!$C$20*G39</f>
        <v>0.000324701736227712</v>
      </c>
      <c r="I39" s="24" t="n">
        <f aca="false">1/(1+$S$1)^A39</f>
        <v>0.689873698715998</v>
      </c>
      <c r="J39" s="23" t="n">
        <f aca="false">H39*I39</f>
        <v>0.000224003187750918</v>
      </c>
      <c r="K39" s="23" t="n">
        <f aca="false">K38+J39</f>
        <v>195.056911215615</v>
      </c>
      <c r="L39" s="17" t="n">
        <f aca="false">Assumptions!$D$22^A39</f>
        <v>5.82076609134674E-011</v>
      </c>
      <c r="M39" s="23" t="n">
        <f aca="false">Assumptions!$D$17*Assumptions!$D$20*L39</f>
        <v>1.2572854757309E-009</v>
      </c>
      <c r="N39" s="24" t="n">
        <f aca="false">1/(1+$S$1)^A39</f>
        <v>0.689873698715998</v>
      </c>
      <c r="O39" s="23" t="n">
        <f aca="false">M39*N39</f>
        <v>8.67368181484376E-010</v>
      </c>
      <c r="P39" s="23" t="n">
        <f aca="false">P38+O39</f>
        <v>42.7359040757707</v>
      </c>
    </row>
    <row r="40" customFormat="false" ht="15" hidden="false" customHeight="true" outlineLevel="0" collapsed="false">
      <c r="A40" s="22" t="n">
        <v>35</v>
      </c>
      <c r="B40" s="17" t="n">
        <f aca="false">Assumptions!$B$22^A40</f>
        <v>0.0250315550499324</v>
      </c>
      <c r="C40" s="23" t="n">
        <f aca="false">Assumptions!$B$17*Assumptions!$B$20*B40</f>
        <v>6.60833053318216</v>
      </c>
      <c r="D40" s="24" t="n">
        <f aca="false">1/(1+$S$1)^A40</f>
        <v>0.682381928548984</v>
      </c>
      <c r="E40" s="23" t="n">
        <f aca="false">C40*D40</f>
        <v>4.50940533372198</v>
      </c>
      <c r="F40" s="23" t="n">
        <f aca="false">F39+E40</f>
        <v>2368.3787270795</v>
      </c>
      <c r="G40" s="17" t="n">
        <f aca="false">Assumptions!$C$22^A40</f>
        <v>3.78818692265664E-006</v>
      </c>
      <c r="H40" s="23" t="n">
        <f aca="false">Assumptions!$C$17*Assumptions!$C$20*G40</f>
        <v>0.000227291215359398</v>
      </c>
      <c r="I40" s="24" t="n">
        <f aca="false">1/(1+$S$1)^A40</f>
        <v>0.682381928548984</v>
      </c>
      <c r="J40" s="23" t="n">
        <f aca="false">H40*I40</f>
        <v>0.000155099417879189</v>
      </c>
      <c r="K40" s="23" t="n">
        <f aca="false">K39+J40</f>
        <v>195.057066315033</v>
      </c>
      <c r="L40" s="17" t="n">
        <f aca="false">Assumptions!$D$22^A40</f>
        <v>2.91038304567337E-011</v>
      </c>
      <c r="M40" s="23" t="n">
        <f aca="false">Assumptions!$D$17*Assumptions!$D$20*L40</f>
        <v>6.28642737865448E-010</v>
      </c>
      <c r="N40" s="24" t="n">
        <f aca="false">1/(1+$S$1)^A40</f>
        <v>0.682381928548984</v>
      </c>
      <c r="O40" s="23" t="n">
        <f aca="false">M40*N40</f>
        <v>4.28974443832938E-010</v>
      </c>
      <c r="P40" s="23" t="n">
        <f aca="false">P39+O40</f>
        <v>42.7359040761997</v>
      </c>
    </row>
    <row r="42" customFormat="false" ht="18" hidden="false" customHeight="true" outlineLevel="0" collapsed="false">
      <c r="A42" s="7" t="s">
        <v>84</v>
      </c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</row>
    <row r="43" customFormat="false" ht="15" hidden="false" customHeight="true" outlineLevel="0" collapsed="false">
      <c r="A43" s="8" t="s">
        <v>85</v>
      </c>
      <c r="B43" s="25" t="n">
        <f aca="false">SUM(E5:E40)</f>
        <v>2368.3787270795</v>
      </c>
      <c r="G43" s="25" t="n">
        <f aca="false">SUM(J5:J40)</f>
        <v>195.057066315033</v>
      </c>
      <c r="L43" s="25" t="n">
        <f aca="false">SUM(O5:O40)</f>
        <v>42.7359040761997</v>
      </c>
    </row>
    <row r="44" customFormat="false" ht="15" hidden="false" customHeight="true" outlineLevel="0" collapsed="false">
      <c r="A44" s="11" t="s">
        <v>86</v>
      </c>
      <c r="B44" s="16" t="n">
        <f aca="false">(Assumptions!$B$17*Assumptions!$B$20)/(1-Assumptions!$B$22/(1+$S$1))</f>
        <v>2404.94844039904</v>
      </c>
      <c r="F44" s="9" t="s">
        <v>87</v>
      </c>
      <c r="G44" s="16" t="n">
        <f aca="false">(Assumptions!$C$17*Assumptions!$C$20)/(1-Assumptions!$C$22/(1+$S$1))</f>
        <v>195.057415437142</v>
      </c>
      <c r="L44" s="16" t="n">
        <f aca="false">(Assumptions!$D$17*Assumptions!$D$20)/(1-Assumptions!$D$22/(1+$S$1))</f>
        <v>42.7359040766195</v>
      </c>
    </row>
    <row r="45" customFormat="false" ht="15" hidden="false" customHeight="true" outlineLevel="0" collapsed="false">
      <c r="A45" s="11" t="s">
        <v>57</v>
      </c>
      <c r="B45" s="26" t="n">
        <f aca="false">Assumptions!$B$25</f>
        <v>350</v>
      </c>
      <c r="G45" s="26" t="n">
        <f aca="false">Assumptions!$C$25</f>
        <v>150</v>
      </c>
      <c r="L45" s="26" t="n">
        <f aca="false">Assumptions!$D$25</f>
        <v>220</v>
      </c>
    </row>
    <row r="46" customFormat="false" ht="15" hidden="false" customHeight="true" outlineLevel="0" collapsed="false">
      <c r="A46" s="8" t="s">
        <v>88</v>
      </c>
      <c r="B46" s="27" t="n">
        <f aca="false">B43/B45</f>
        <v>6.76679636308429</v>
      </c>
      <c r="G46" s="27" t="n">
        <f aca="false">G43/G45</f>
        <v>1.30038044210022</v>
      </c>
      <c r="L46" s="27" t="n">
        <f aca="false">L43/L45</f>
        <v>0.194254109437271</v>
      </c>
    </row>
    <row r="47" customFormat="false" ht="15" hidden="false" customHeight="true" outlineLevel="0" collapsed="false">
      <c r="A47" s="11" t="s">
        <v>89</v>
      </c>
      <c r="B47" s="28" t="n">
        <f aca="false">MATCH(B45,F5:F40,1)-1</f>
        <v>0</v>
      </c>
      <c r="F47" s="9" t="s">
        <v>90</v>
      </c>
      <c r="G47" s="28" t="n">
        <f aca="false">MATCH(G45,K5:K40,1)-1</f>
        <v>2</v>
      </c>
      <c r="L47" s="28" t="n">
        <f aca="false">MATCH(L45,P5:P40,1)-1</f>
        <v>35</v>
      </c>
    </row>
  </sheetData>
  <mergeCells count="6">
    <mergeCell ref="A1:P1"/>
    <mergeCell ref="A2:P2"/>
    <mergeCell ref="B3:F3"/>
    <mergeCell ref="G3:K3"/>
    <mergeCell ref="L3:P3"/>
    <mergeCell ref="A42:P4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2A44"/>
    <pageSetUpPr fitToPage="false"/>
  </sheetPr>
  <dimension ref="A1:M4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2"/>
    <col collapsed="false" customWidth="true" hidden="false" outlineLevel="0" max="13" min="2" style="1" width="10"/>
  </cols>
  <sheetData>
    <row r="1" customFormat="false" ht="24" hidden="false" customHeight="true" outlineLevel="0" collapsed="false">
      <c r="A1" s="10" t="s">
        <v>91</v>
      </c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</row>
    <row r="2" customFormat="false" ht="15" hidden="false" customHeight="true" outlineLevel="0" collapsed="false">
      <c r="A2" s="4" t="s">
        <v>92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3" customFormat="false" ht="6" hidden="false" customHeight="true" outlineLevel="0" collapsed="false">
      <c r="B3" s="20" t="s">
        <v>93</v>
      </c>
      <c r="C3" s="20"/>
      <c r="D3" s="20"/>
      <c r="E3" s="20"/>
      <c r="F3" s="20" t="s">
        <v>94</v>
      </c>
      <c r="G3" s="20"/>
      <c r="H3" s="20"/>
      <c r="I3" s="20"/>
      <c r="J3" s="20" t="s">
        <v>95</v>
      </c>
      <c r="K3" s="20"/>
      <c r="L3" s="20"/>
      <c r="M3" s="20"/>
    </row>
    <row r="4" customFormat="false" ht="15" hidden="false" customHeight="true" outlineLevel="0" collapsed="false">
      <c r="A4" s="29" t="s">
        <v>45</v>
      </c>
      <c r="B4" s="14" t="s">
        <v>96</v>
      </c>
      <c r="C4" s="14" t="s">
        <v>97</v>
      </c>
      <c r="D4" s="14" t="s">
        <v>98</v>
      </c>
      <c r="E4" s="14" t="s">
        <v>99</v>
      </c>
      <c r="F4" s="14" t="s">
        <v>100</v>
      </c>
      <c r="G4" s="14" t="s">
        <v>101</v>
      </c>
      <c r="H4" s="14" t="s">
        <v>102</v>
      </c>
      <c r="I4" s="14" t="s">
        <v>103</v>
      </c>
      <c r="J4" s="14" t="s">
        <v>104</v>
      </c>
      <c r="K4" s="14" t="s">
        <v>105</v>
      </c>
      <c r="L4" s="14" t="s">
        <v>106</v>
      </c>
      <c r="M4" s="14" t="s">
        <v>107</v>
      </c>
    </row>
    <row r="6" customFormat="false" ht="18" hidden="false" customHeight="true" outlineLevel="0" collapsed="false">
      <c r="A6" s="7" t="s">
        <v>108</v>
      </c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</row>
    <row r="7" customFormat="false" ht="15" hidden="false" customHeight="true" outlineLevel="0" collapsed="false">
      <c r="A7" s="11" t="s">
        <v>109</v>
      </c>
      <c r="B7" s="15" t="n">
        <v>3000</v>
      </c>
      <c r="C7" s="15" t="n">
        <v>6000</v>
      </c>
      <c r="D7" s="15" t="n">
        <v>9000</v>
      </c>
      <c r="E7" s="15" t="n">
        <v>12000</v>
      </c>
      <c r="F7" s="15" t="n">
        <v>15000</v>
      </c>
      <c r="G7" s="15" t="n">
        <v>16000</v>
      </c>
      <c r="H7" s="15" t="n">
        <v>17000</v>
      </c>
      <c r="I7" s="15" t="n">
        <v>18000</v>
      </c>
      <c r="J7" s="15" t="n">
        <v>19000</v>
      </c>
      <c r="K7" s="15" t="n">
        <v>20000</v>
      </c>
      <c r="L7" s="15" t="n">
        <v>21000</v>
      </c>
      <c r="M7" s="15" t="n">
        <v>22000</v>
      </c>
    </row>
    <row r="8" customFormat="false" ht="15" hidden="false" customHeight="true" outlineLevel="0" collapsed="false">
      <c r="A8" s="11" t="s">
        <v>110</v>
      </c>
      <c r="B8" s="28" t="n">
        <f aca="false">B7</f>
        <v>3000</v>
      </c>
      <c r="C8" s="28" t="n">
        <f aca="false">B8*Assumptions!$B$24+C7</f>
        <v>8187</v>
      </c>
      <c r="D8" s="28" t="n">
        <f aca="false">C8*Assumptions!$B$24+D7</f>
        <v>14968.323</v>
      </c>
      <c r="E8" s="28" t="n">
        <f aca="false">D8*Assumptions!$B$24+E7</f>
        <v>22911.907467</v>
      </c>
      <c r="F8" s="28" t="n">
        <f aca="false">E8*Assumptions!$B$24+F7</f>
        <v>31702.780543443</v>
      </c>
      <c r="G8" s="28" t="n">
        <f aca="false">F8*Assumptions!$B$24+G7</f>
        <v>39111.32701617</v>
      </c>
      <c r="H8" s="28" t="n">
        <f aca="false">G8*Assumptions!$B$24+H7</f>
        <v>45512.1573947879</v>
      </c>
      <c r="I8" s="28" t="n">
        <f aca="false">H8*Assumptions!$B$24+I7</f>
        <v>51178.3627408004</v>
      </c>
      <c r="J8" s="28" t="n">
        <f aca="false">I8*Assumptions!$B$24+J7</f>
        <v>56309.0264380435</v>
      </c>
      <c r="K8" s="28" t="n">
        <f aca="false">J8*Assumptions!$B$24+K7</f>
        <v>61049.2802733337</v>
      </c>
      <c r="L8" s="28" t="n">
        <f aca="false">K8*Assumptions!$B$24+L7</f>
        <v>65504.9253192603</v>
      </c>
      <c r="M8" s="28" t="n">
        <f aca="false">L8*Assumptions!$B$24+M7</f>
        <v>69753.0905577407</v>
      </c>
    </row>
    <row r="9" customFormat="false" ht="15" hidden="false" customHeight="true" outlineLevel="0" collapsed="false">
      <c r="A9" s="11" t="s">
        <v>111</v>
      </c>
      <c r="B9" s="28" t="n">
        <f aca="false">B8*Assumptions!$B$17*3</f>
        <v>108000</v>
      </c>
      <c r="C9" s="28" t="n">
        <f aca="false">C8*Assumptions!$B$17*3</f>
        <v>294732</v>
      </c>
      <c r="D9" s="28" t="n">
        <f aca="false">D8*Assumptions!$B$17*3</f>
        <v>538859.628</v>
      </c>
      <c r="E9" s="28" t="n">
        <f aca="false">E8*Assumptions!$B$17*3</f>
        <v>824828.668812</v>
      </c>
      <c r="F9" s="28" t="n">
        <f aca="false">F8*Assumptions!$B$17*3</f>
        <v>1141300.09956395</v>
      </c>
      <c r="G9" s="28" t="n">
        <f aca="false">G8*Assumptions!$B$17*3</f>
        <v>1408007.77258212</v>
      </c>
      <c r="H9" s="28" t="n">
        <f aca="false">H8*Assumptions!$B$17*3</f>
        <v>1638437.66621236</v>
      </c>
      <c r="I9" s="28" t="n">
        <f aca="false">I8*Assumptions!$B$17*3</f>
        <v>1842421.05866881</v>
      </c>
      <c r="J9" s="28" t="n">
        <f aca="false">J8*Assumptions!$B$17*3</f>
        <v>2027124.95176957</v>
      </c>
      <c r="K9" s="28" t="n">
        <f aca="false">K8*Assumptions!$B$17*3</f>
        <v>2197774.08984001</v>
      </c>
      <c r="L9" s="28" t="n">
        <f aca="false">L8*Assumptions!$B$17*3</f>
        <v>2358177.31149337</v>
      </c>
      <c r="M9" s="28" t="n">
        <f aca="false">M8*Assumptions!$B$17*3</f>
        <v>2511111.26007867</v>
      </c>
    </row>
    <row r="10" customFormat="false" ht="15" hidden="false" customHeight="true" outlineLevel="0" collapsed="false">
      <c r="A10" s="11" t="s">
        <v>112</v>
      </c>
      <c r="B10" s="23" t="n">
        <f aca="false">B9*Assumptions!$B$18/100000</f>
        <v>75.6</v>
      </c>
      <c r="C10" s="23" t="n">
        <f aca="false">C9*Assumptions!$B$18/100000</f>
        <v>206.3124</v>
      </c>
      <c r="D10" s="23" t="n">
        <f aca="false">D9*Assumptions!$B$18/100000</f>
        <v>377.2017396</v>
      </c>
      <c r="E10" s="23" t="n">
        <f aca="false">E9*Assumptions!$B$18/100000</f>
        <v>577.3800681684</v>
      </c>
      <c r="F10" s="23" t="n">
        <f aca="false">F9*Assumptions!$B$18/100000</f>
        <v>798.910069694764</v>
      </c>
      <c r="G10" s="23" t="n">
        <f aca="false">G9*Assumptions!$B$18/100000</f>
        <v>985.605440807483</v>
      </c>
      <c r="H10" s="23" t="n">
        <f aca="false">H9*Assumptions!$B$18/100000</f>
        <v>1146.90636634866</v>
      </c>
      <c r="I10" s="23" t="n">
        <f aca="false">I9*Assumptions!$B$18/100000</f>
        <v>1289.69474106817</v>
      </c>
      <c r="J10" s="23" t="n">
        <f aca="false">J9*Assumptions!$B$18/100000</f>
        <v>1418.9874662387</v>
      </c>
      <c r="K10" s="23" t="n">
        <f aca="false">K9*Assumptions!$B$18/100000</f>
        <v>1538.44186288801</v>
      </c>
      <c r="L10" s="23" t="n">
        <f aca="false">L9*Assumptions!$B$18/100000</f>
        <v>1650.72411804536</v>
      </c>
      <c r="M10" s="23" t="n">
        <f aca="false">M9*Assumptions!$B$18/100000</f>
        <v>1757.77788205507</v>
      </c>
    </row>
    <row r="11" customFormat="false" ht="15" hidden="false" customHeight="true" outlineLevel="0" collapsed="false">
      <c r="A11" s="11" t="s">
        <v>113</v>
      </c>
      <c r="B11" s="23" t="n">
        <f aca="false">B9*Assumptions!$B$19/100000</f>
        <v>51.84</v>
      </c>
      <c r="C11" s="23" t="n">
        <f aca="false">C9*Assumptions!$B$19/100000</f>
        <v>141.47136</v>
      </c>
      <c r="D11" s="23" t="n">
        <f aca="false">D9*Assumptions!$B$19/100000</f>
        <v>258.65262144</v>
      </c>
      <c r="E11" s="23" t="n">
        <f aca="false">E9*Assumptions!$B$19/100000</f>
        <v>395.91776102976</v>
      </c>
      <c r="F11" s="23" t="n">
        <f aca="false">F9*Assumptions!$B$19/100000</f>
        <v>547.824047790695</v>
      </c>
      <c r="G11" s="23" t="n">
        <f aca="false">G9*Assumptions!$B$19/100000</f>
        <v>675.843730839417</v>
      </c>
      <c r="H11" s="23" t="n">
        <f aca="false">H9*Assumptions!$B$19/100000</f>
        <v>786.450079781935</v>
      </c>
      <c r="I11" s="23" t="n">
        <f aca="false">I9*Assumptions!$B$19/100000</f>
        <v>884.362108161031</v>
      </c>
      <c r="J11" s="23" t="n">
        <f aca="false">J9*Assumptions!$B$19/100000</f>
        <v>973.019976849391</v>
      </c>
      <c r="K11" s="23" t="n">
        <f aca="false">K9*Assumptions!$B$19/100000</f>
        <v>1054.93156312321</v>
      </c>
      <c r="L11" s="23" t="n">
        <f aca="false">L9*Assumptions!$B$19/100000</f>
        <v>1131.92510951682</v>
      </c>
      <c r="M11" s="23" t="n">
        <f aca="false">M9*Assumptions!$B$19/100000</f>
        <v>1205.33340483776</v>
      </c>
    </row>
    <row r="12" customFormat="false" ht="15" hidden="false" customHeight="true" outlineLevel="0" collapsed="false">
      <c r="A12" s="11" t="s">
        <v>114</v>
      </c>
      <c r="B12" s="23" t="n">
        <f aca="false">B10-B11</f>
        <v>23.76</v>
      </c>
      <c r="C12" s="23" t="n">
        <f aca="false">C10-C11</f>
        <v>64.84104</v>
      </c>
      <c r="D12" s="23" t="n">
        <f aca="false">D10-D11</f>
        <v>118.54911816</v>
      </c>
      <c r="E12" s="23" t="n">
        <f aca="false">E10-E11</f>
        <v>181.46230713864</v>
      </c>
      <c r="F12" s="23" t="n">
        <f aca="false">F10-F11</f>
        <v>251.086021904069</v>
      </c>
      <c r="G12" s="23" t="n">
        <f aca="false">G10-G11</f>
        <v>309.761709968066</v>
      </c>
      <c r="H12" s="23" t="n">
        <f aca="false">H10-H11</f>
        <v>360.45628656672</v>
      </c>
      <c r="I12" s="23" t="n">
        <f aca="false">I10-I11</f>
        <v>405.332632907139</v>
      </c>
      <c r="J12" s="23" t="n">
        <f aca="false">J10-J11</f>
        <v>445.967489389304</v>
      </c>
      <c r="K12" s="23" t="n">
        <f aca="false">K10-K11</f>
        <v>483.510299764803</v>
      </c>
      <c r="L12" s="23" t="n">
        <f aca="false">L10-L11</f>
        <v>518.799008528541</v>
      </c>
      <c r="M12" s="23" t="n">
        <f aca="false">M10-M11</f>
        <v>552.444477217307</v>
      </c>
    </row>
    <row r="13" customFormat="false" ht="15" hidden="false" customHeight="true" outlineLevel="0" collapsed="false">
      <c r="A13" s="11" t="s">
        <v>115</v>
      </c>
      <c r="B13" s="23" t="n">
        <f aca="false">B7*Assumptions!$B$25/100000</f>
        <v>10.5</v>
      </c>
      <c r="C13" s="23" t="n">
        <f aca="false">C7*Assumptions!$B$25/100000</f>
        <v>21</v>
      </c>
      <c r="D13" s="23" t="n">
        <f aca="false">D7*Assumptions!$B$25/100000</f>
        <v>31.5</v>
      </c>
      <c r="E13" s="23" t="n">
        <f aca="false">E7*Assumptions!$B$25/100000</f>
        <v>42</v>
      </c>
      <c r="F13" s="23" t="n">
        <f aca="false">F7*Assumptions!$B$25/100000</f>
        <v>52.5</v>
      </c>
      <c r="G13" s="23" t="n">
        <f aca="false">G7*Assumptions!$B$25/100000</f>
        <v>56</v>
      </c>
      <c r="H13" s="23" t="n">
        <f aca="false">H7*Assumptions!$B$25/100000</f>
        <v>59.5</v>
      </c>
      <c r="I13" s="23" t="n">
        <f aca="false">I7*Assumptions!$B$25/100000</f>
        <v>63</v>
      </c>
      <c r="J13" s="23" t="n">
        <f aca="false">J7*Assumptions!$B$25/100000</f>
        <v>66.5</v>
      </c>
      <c r="K13" s="23" t="n">
        <f aca="false">K7*Assumptions!$B$25/100000</f>
        <v>70</v>
      </c>
      <c r="L13" s="23" t="n">
        <f aca="false">L7*Assumptions!$B$25/100000</f>
        <v>73.5</v>
      </c>
      <c r="M13" s="23" t="n">
        <f aca="false">M7*Assumptions!$B$25/100000</f>
        <v>77</v>
      </c>
    </row>
    <row r="15" customFormat="false" ht="18" hidden="false" customHeight="true" outlineLevel="0" collapsed="false">
      <c r="A15" s="7" t="s">
        <v>116</v>
      </c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</row>
    <row r="16" customFormat="false" ht="15" hidden="false" customHeight="true" outlineLevel="0" collapsed="false">
      <c r="A16" s="11" t="s">
        <v>109</v>
      </c>
      <c r="B16" s="15" t="n">
        <v>5000</v>
      </c>
      <c r="C16" s="15" t="n">
        <v>3000</v>
      </c>
      <c r="D16" s="15" t="n">
        <v>7000</v>
      </c>
      <c r="E16" s="15" t="n">
        <v>4000</v>
      </c>
      <c r="F16" s="15" t="n">
        <v>8000</v>
      </c>
      <c r="G16" s="15" t="n">
        <v>5000</v>
      </c>
      <c r="H16" s="15" t="n">
        <v>9000</v>
      </c>
      <c r="I16" s="15" t="n">
        <v>6000</v>
      </c>
      <c r="J16" s="15" t="n">
        <v>10000</v>
      </c>
      <c r="K16" s="15" t="n">
        <v>7000</v>
      </c>
      <c r="L16" s="15" t="n">
        <v>11000</v>
      </c>
      <c r="M16" s="15" t="n">
        <v>8000</v>
      </c>
    </row>
    <row r="17" customFormat="false" ht="15" hidden="false" customHeight="true" outlineLevel="0" collapsed="false">
      <c r="A17" s="11" t="s">
        <v>110</v>
      </c>
      <c r="B17" s="28" t="n">
        <f aca="false">B16</f>
        <v>5000</v>
      </c>
      <c r="C17" s="28" t="n">
        <f aca="false">B17*Assumptions!$C$24+C16</f>
        <v>4715</v>
      </c>
      <c r="D17" s="28" t="n">
        <f aca="false">C17*Assumptions!$C$24+D16</f>
        <v>8617.245</v>
      </c>
      <c r="E17" s="28" t="n">
        <f aca="false">D17*Assumptions!$C$24+E16</f>
        <v>6955.715035</v>
      </c>
      <c r="F17" s="28" t="n">
        <f aca="false">E17*Assumptions!$C$24+F16</f>
        <v>10385.810257005</v>
      </c>
      <c r="G17" s="28" t="n">
        <f aca="false">F17*Assumptions!$C$24+G16</f>
        <v>8562.33291815271</v>
      </c>
      <c r="H17" s="28" t="n">
        <f aca="false">G17*Assumptions!$C$24+H16</f>
        <v>11936.8801909264</v>
      </c>
      <c r="I17" s="28" t="n">
        <f aca="false">H17*Assumptions!$C$24+I16</f>
        <v>10094.3499054877</v>
      </c>
      <c r="J17" s="28" t="n">
        <f aca="false">I17*Assumptions!$C$24+J16</f>
        <v>13462.3620175823</v>
      </c>
      <c r="K17" s="28" t="n">
        <f aca="false">J17*Assumptions!$C$24+K16</f>
        <v>11617.5901720307</v>
      </c>
      <c r="L17" s="28" t="n">
        <f aca="false">K17*Assumptions!$C$24+L16</f>
        <v>14984.8334290065</v>
      </c>
      <c r="M17" s="28" t="n">
        <f aca="false">L17*Assumptions!$C$24+M16</f>
        <v>13139.7978661492</v>
      </c>
    </row>
    <row r="18" customFormat="false" ht="15" hidden="false" customHeight="true" outlineLevel="0" collapsed="false">
      <c r="A18" s="11" t="s">
        <v>111</v>
      </c>
      <c r="B18" s="28" t="n">
        <f aca="false">B17*Assumptions!$C$17*3</f>
        <v>30000</v>
      </c>
      <c r="C18" s="28" t="n">
        <f aca="false">C17*Assumptions!$C$17*3</f>
        <v>28290</v>
      </c>
      <c r="D18" s="28" t="n">
        <f aca="false">D17*Assumptions!$C$17*3</f>
        <v>51703.47</v>
      </c>
      <c r="E18" s="28" t="n">
        <f aca="false">E17*Assumptions!$C$17*3</f>
        <v>41734.29021</v>
      </c>
      <c r="F18" s="28" t="n">
        <f aca="false">F17*Assumptions!$C$17*3</f>
        <v>62314.86154203</v>
      </c>
      <c r="G18" s="28" t="n">
        <f aca="false">G17*Assumptions!$C$17*3</f>
        <v>51373.9975089163</v>
      </c>
      <c r="H18" s="28" t="n">
        <f aca="false">H17*Assumptions!$C$17*3</f>
        <v>71621.2811455583</v>
      </c>
      <c r="I18" s="28" t="n">
        <f aca="false">I17*Assumptions!$C$17*3</f>
        <v>60566.0994329265</v>
      </c>
      <c r="J18" s="28" t="n">
        <f aca="false">J17*Assumptions!$C$17*3</f>
        <v>80774.1721054938</v>
      </c>
      <c r="K18" s="28" t="n">
        <f aca="false">K17*Assumptions!$C$17*3</f>
        <v>69705.5410321844</v>
      </c>
      <c r="L18" s="28" t="n">
        <f aca="false">L17*Assumptions!$C$17*3</f>
        <v>89909.0005740392</v>
      </c>
      <c r="M18" s="28" t="n">
        <f aca="false">M17*Assumptions!$C$17*3</f>
        <v>78838.7871968955</v>
      </c>
    </row>
    <row r="19" customFormat="false" ht="15" hidden="false" customHeight="true" outlineLevel="0" collapsed="false">
      <c r="A19" s="11" t="s">
        <v>112</v>
      </c>
      <c r="B19" s="23" t="n">
        <f aca="false">B18*Assumptions!$C$18/100000</f>
        <v>25.5</v>
      </c>
      <c r="C19" s="23" t="n">
        <f aca="false">C18*Assumptions!$C$18/100000</f>
        <v>24.0465</v>
      </c>
      <c r="D19" s="23" t="n">
        <f aca="false">D18*Assumptions!$C$18/100000</f>
        <v>43.9479495</v>
      </c>
      <c r="E19" s="23" t="n">
        <f aca="false">E18*Assumptions!$C$18/100000</f>
        <v>35.4741466785</v>
      </c>
      <c r="F19" s="23" t="n">
        <f aca="false">F18*Assumptions!$C$18/100000</f>
        <v>52.9676323107255</v>
      </c>
      <c r="G19" s="23" t="n">
        <f aca="false">G18*Assumptions!$C$18/100000</f>
        <v>43.6678978825788</v>
      </c>
      <c r="H19" s="23" t="n">
        <f aca="false">H18*Assumptions!$C$18/100000</f>
        <v>60.8780889737245</v>
      </c>
      <c r="I19" s="23" t="n">
        <f aca="false">I18*Assumptions!$C$18/100000</f>
        <v>51.4811845179875</v>
      </c>
      <c r="J19" s="23" t="n">
        <f aca="false">J18*Assumptions!$C$18/100000</f>
        <v>68.6580462896697</v>
      </c>
      <c r="K19" s="23" t="n">
        <f aca="false">K18*Assumptions!$C$18/100000</f>
        <v>59.2497098773567</v>
      </c>
      <c r="L19" s="23" t="n">
        <f aca="false">L18*Assumptions!$C$18/100000</f>
        <v>76.4226504879333</v>
      </c>
      <c r="M19" s="23" t="n">
        <f aca="false">M18*Assumptions!$C$18/100000</f>
        <v>67.0129691173611</v>
      </c>
    </row>
    <row r="20" customFormat="false" ht="15" hidden="false" customHeight="true" outlineLevel="0" collapsed="false">
      <c r="A20" s="11" t="s">
        <v>113</v>
      </c>
      <c r="B20" s="23" t="n">
        <f aca="false">B18*Assumptions!$C$19/100000</f>
        <v>16.5</v>
      </c>
      <c r="C20" s="23" t="n">
        <f aca="false">C18*Assumptions!$C$19/100000</f>
        <v>15.5595</v>
      </c>
      <c r="D20" s="23" t="n">
        <f aca="false">D18*Assumptions!$C$19/100000</f>
        <v>28.4369085</v>
      </c>
      <c r="E20" s="23" t="n">
        <f aca="false">E18*Assumptions!$C$19/100000</f>
        <v>22.9538596155</v>
      </c>
      <c r="F20" s="23" t="n">
        <f aca="false">F18*Assumptions!$C$19/100000</f>
        <v>34.2731738481165</v>
      </c>
      <c r="G20" s="23" t="n">
        <f aca="false">G18*Assumptions!$C$19/100000</f>
        <v>28.255698629904</v>
      </c>
      <c r="H20" s="23" t="n">
        <f aca="false">H18*Assumptions!$C$19/100000</f>
        <v>39.3917046300571</v>
      </c>
      <c r="I20" s="23" t="n">
        <f aca="false">I18*Assumptions!$C$19/100000</f>
        <v>33.3113546881096</v>
      </c>
      <c r="J20" s="23" t="n">
        <f aca="false">J18*Assumptions!$C$19/100000</f>
        <v>44.4257946580216</v>
      </c>
      <c r="K20" s="23" t="n">
        <f aca="false">K18*Assumptions!$C$19/100000</f>
        <v>38.3380475677014</v>
      </c>
      <c r="L20" s="23" t="n">
        <f aca="false">L18*Assumptions!$C$19/100000</f>
        <v>49.4499503157216</v>
      </c>
      <c r="M20" s="23" t="n">
        <f aca="false">M18*Assumptions!$C$19/100000</f>
        <v>43.3613329582925</v>
      </c>
    </row>
    <row r="21" customFormat="false" ht="15" hidden="false" customHeight="true" outlineLevel="0" collapsed="false">
      <c r="A21" s="11" t="s">
        <v>114</v>
      </c>
      <c r="B21" s="23" t="n">
        <f aca="false">B19-B20</f>
        <v>9</v>
      </c>
      <c r="C21" s="23" t="n">
        <f aca="false">C19-C20</f>
        <v>8.487</v>
      </c>
      <c r="D21" s="23" t="n">
        <f aca="false">D19-D20</f>
        <v>15.511041</v>
      </c>
      <c r="E21" s="23" t="n">
        <f aca="false">E19-E20</f>
        <v>12.520287063</v>
      </c>
      <c r="F21" s="23" t="n">
        <f aca="false">F19-F20</f>
        <v>18.694458462609</v>
      </c>
      <c r="G21" s="23" t="n">
        <f aca="false">G19-G20</f>
        <v>15.4121992526749</v>
      </c>
      <c r="H21" s="23" t="n">
        <f aca="false">H19-H20</f>
        <v>21.4863843436675</v>
      </c>
      <c r="I21" s="23" t="n">
        <f aca="false">I19-I20</f>
        <v>18.1698298298779</v>
      </c>
      <c r="J21" s="23" t="n">
        <f aca="false">J19-J20</f>
        <v>24.2322516316481</v>
      </c>
      <c r="K21" s="23" t="n">
        <f aca="false">K19-K20</f>
        <v>20.9116623096553</v>
      </c>
      <c r="L21" s="23" t="n">
        <f aca="false">L19-L20</f>
        <v>26.9727001722118</v>
      </c>
      <c r="M21" s="23" t="n">
        <f aca="false">M19-M20</f>
        <v>23.6516361590686</v>
      </c>
    </row>
    <row r="22" customFormat="false" ht="15" hidden="false" customHeight="true" outlineLevel="0" collapsed="false">
      <c r="A22" s="11" t="s">
        <v>115</v>
      </c>
      <c r="B22" s="23" t="n">
        <f aca="false">B16*Assumptions!$C$25/100000</f>
        <v>7.5</v>
      </c>
      <c r="C22" s="23" t="n">
        <f aca="false">C16*Assumptions!$C$25/100000</f>
        <v>4.5</v>
      </c>
      <c r="D22" s="23" t="n">
        <f aca="false">D16*Assumptions!$C$25/100000</f>
        <v>10.5</v>
      </c>
      <c r="E22" s="23" t="n">
        <f aca="false">E16*Assumptions!$C$25/100000</f>
        <v>6</v>
      </c>
      <c r="F22" s="23" t="n">
        <f aca="false">F16*Assumptions!$C$25/100000</f>
        <v>12</v>
      </c>
      <c r="G22" s="23" t="n">
        <f aca="false">G16*Assumptions!$C$25/100000</f>
        <v>7.5</v>
      </c>
      <c r="H22" s="23" t="n">
        <f aca="false">H16*Assumptions!$C$25/100000</f>
        <v>13.5</v>
      </c>
      <c r="I22" s="23" t="n">
        <f aca="false">I16*Assumptions!$C$25/100000</f>
        <v>9</v>
      </c>
      <c r="J22" s="23" t="n">
        <f aca="false">J16*Assumptions!$C$25/100000</f>
        <v>15</v>
      </c>
      <c r="K22" s="23" t="n">
        <f aca="false">K16*Assumptions!$C$25/100000</f>
        <v>10.5</v>
      </c>
      <c r="L22" s="23" t="n">
        <f aca="false">L16*Assumptions!$C$25/100000</f>
        <v>16.5</v>
      </c>
      <c r="M22" s="23" t="n">
        <f aca="false">M16*Assumptions!$C$25/100000</f>
        <v>12</v>
      </c>
    </row>
    <row r="24" customFormat="false" ht="18" hidden="false" customHeight="true" outlineLevel="0" collapsed="false">
      <c r="A24" s="7" t="s">
        <v>117</v>
      </c>
      <c r="B24" s="7"/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</row>
    <row r="25" customFormat="false" ht="15" hidden="false" customHeight="true" outlineLevel="0" collapsed="false">
      <c r="A25" s="11" t="s">
        <v>109</v>
      </c>
      <c r="B25" s="15" t="n">
        <v>1000</v>
      </c>
      <c r="C25" s="15" t="n">
        <v>1500</v>
      </c>
      <c r="D25" s="15" t="n">
        <v>2000</v>
      </c>
      <c r="E25" s="15" t="n">
        <v>2500</v>
      </c>
      <c r="F25" s="15" t="n">
        <v>3000</v>
      </c>
      <c r="G25" s="15" t="n">
        <v>3500</v>
      </c>
      <c r="H25" s="15" t="n">
        <v>4000</v>
      </c>
      <c r="I25" s="15" t="n">
        <v>4500</v>
      </c>
      <c r="J25" s="15" t="n">
        <v>5000</v>
      </c>
      <c r="K25" s="15" t="n">
        <v>5500</v>
      </c>
      <c r="L25" s="15" t="n">
        <v>6000</v>
      </c>
      <c r="M25" s="15" t="n">
        <v>6500</v>
      </c>
    </row>
    <row r="26" customFormat="false" ht="15" hidden="false" customHeight="true" outlineLevel="0" collapsed="false">
      <c r="A26" s="11" t="s">
        <v>110</v>
      </c>
      <c r="B26" s="28" t="n">
        <f aca="false">B25</f>
        <v>1000</v>
      </c>
      <c r="C26" s="28" t="n">
        <f aca="false">B26*Assumptions!$D$24+C25</f>
        <v>1625</v>
      </c>
      <c r="D26" s="28" t="n">
        <f aca="false">C26*Assumptions!$D$24+D25</f>
        <v>2203.125</v>
      </c>
      <c r="E26" s="28" t="n">
        <f aca="false">D26*Assumptions!$D$24+E25</f>
        <v>2775.390625</v>
      </c>
      <c r="F26" s="28" t="n">
        <f aca="false">E26*Assumptions!$D$24+F25</f>
        <v>3346.923828125</v>
      </c>
      <c r="G26" s="28" t="n">
        <f aca="false">F26*Assumptions!$D$24+G25</f>
        <v>3918.36547851563</v>
      </c>
      <c r="H26" s="28" t="n">
        <f aca="false">G26*Assumptions!$D$24+H25</f>
        <v>4489.79568481445</v>
      </c>
      <c r="I26" s="28" t="n">
        <f aca="false">H26*Assumptions!$D$24+I25</f>
        <v>5061.22446060181</v>
      </c>
      <c r="J26" s="28" t="n">
        <f aca="false">I26*Assumptions!$D$24+J25</f>
        <v>5632.65305757523</v>
      </c>
      <c r="K26" s="28" t="n">
        <f aca="false">J26*Assumptions!$D$24+K25</f>
        <v>6204.0816321969</v>
      </c>
      <c r="L26" s="28" t="n">
        <f aca="false">K26*Assumptions!$D$24+L25</f>
        <v>6775.51020402461</v>
      </c>
      <c r="M26" s="28" t="n">
        <f aca="false">L26*Assumptions!$D$24+M25</f>
        <v>7346.93877550308</v>
      </c>
    </row>
    <row r="27" customFormat="false" ht="15" hidden="false" customHeight="true" outlineLevel="0" collapsed="false">
      <c r="A27" s="11" t="s">
        <v>111</v>
      </c>
      <c r="B27" s="28" t="n">
        <f aca="false">B26*Assumptions!$D$17*3</f>
        <v>2400</v>
      </c>
      <c r="C27" s="28" t="n">
        <f aca="false">C26*Assumptions!$D$17*3</f>
        <v>3900</v>
      </c>
      <c r="D27" s="28" t="n">
        <f aca="false">D26*Assumptions!$D$17*3</f>
        <v>5287.5</v>
      </c>
      <c r="E27" s="28" t="n">
        <f aca="false">E26*Assumptions!$D$17*3</f>
        <v>6660.9375</v>
      </c>
      <c r="F27" s="28" t="n">
        <f aca="false">F26*Assumptions!$D$17*3</f>
        <v>8032.6171875</v>
      </c>
      <c r="G27" s="28" t="n">
        <f aca="false">G26*Assumptions!$D$17*3</f>
        <v>9404.0771484375</v>
      </c>
      <c r="H27" s="28" t="n">
        <f aca="false">H26*Assumptions!$D$17*3</f>
        <v>10775.5096435547</v>
      </c>
      <c r="I27" s="28" t="n">
        <f aca="false">I26*Assumptions!$D$17*3</f>
        <v>12146.9387054443</v>
      </c>
      <c r="J27" s="28" t="n">
        <f aca="false">J26*Assumptions!$D$17*3</f>
        <v>13518.3673381805</v>
      </c>
      <c r="K27" s="28" t="n">
        <f aca="false">K26*Assumptions!$D$17*3</f>
        <v>14889.7959172726</v>
      </c>
      <c r="L27" s="28" t="n">
        <f aca="false">L26*Assumptions!$D$17*3</f>
        <v>16261.2244896591</v>
      </c>
      <c r="M27" s="28" t="n">
        <f aca="false">M26*Assumptions!$D$17*3</f>
        <v>17632.6530612074</v>
      </c>
    </row>
    <row r="28" customFormat="false" ht="15" hidden="false" customHeight="true" outlineLevel="0" collapsed="false">
      <c r="A28" s="11" t="s">
        <v>112</v>
      </c>
      <c r="B28" s="23" t="n">
        <f aca="false">B27*Assumptions!$D$18/100000</f>
        <v>2.28</v>
      </c>
      <c r="C28" s="23" t="n">
        <f aca="false">C27*Assumptions!$D$18/100000</f>
        <v>3.705</v>
      </c>
      <c r="D28" s="23" t="n">
        <f aca="false">D27*Assumptions!$D$18/100000</f>
        <v>5.023125</v>
      </c>
      <c r="E28" s="23" t="n">
        <f aca="false">E27*Assumptions!$D$18/100000</f>
        <v>6.327890625</v>
      </c>
      <c r="F28" s="23" t="n">
        <f aca="false">F27*Assumptions!$D$18/100000</f>
        <v>7.630986328125</v>
      </c>
      <c r="G28" s="23" t="n">
        <f aca="false">G27*Assumptions!$D$18/100000</f>
        <v>8.93387329101562</v>
      </c>
      <c r="H28" s="23" t="n">
        <f aca="false">H27*Assumptions!$D$18/100000</f>
        <v>10.236734161377</v>
      </c>
      <c r="I28" s="23" t="n">
        <f aca="false">I27*Assumptions!$D$18/100000</f>
        <v>11.5395917701721</v>
      </c>
      <c r="J28" s="23" t="n">
        <f aca="false">J27*Assumptions!$D$18/100000</f>
        <v>12.8424489712715</v>
      </c>
      <c r="K28" s="23" t="n">
        <f aca="false">K27*Assumptions!$D$18/100000</f>
        <v>14.1453061214089</v>
      </c>
      <c r="L28" s="23" t="n">
        <f aca="false">L27*Assumptions!$D$18/100000</f>
        <v>15.4481632651761</v>
      </c>
      <c r="M28" s="23" t="n">
        <f aca="false">M27*Assumptions!$D$18/100000</f>
        <v>16.751020408147</v>
      </c>
    </row>
    <row r="29" customFormat="false" ht="15" hidden="false" customHeight="true" outlineLevel="0" collapsed="false">
      <c r="A29" s="11" t="s">
        <v>113</v>
      </c>
      <c r="B29" s="23" t="n">
        <f aca="false">B27*Assumptions!$D$19/100000</f>
        <v>1.632</v>
      </c>
      <c r="C29" s="23" t="n">
        <f aca="false">C27*Assumptions!$D$19/100000</f>
        <v>2.652</v>
      </c>
      <c r="D29" s="23" t="n">
        <f aca="false">D27*Assumptions!$D$19/100000</f>
        <v>3.5955</v>
      </c>
      <c r="E29" s="23" t="n">
        <f aca="false">E27*Assumptions!$D$19/100000</f>
        <v>4.5294375</v>
      </c>
      <c r="F29" s="23" t="n">
        <f aca="false">F27*Assumptions!$D$19/100000</f>
        <v>5.4621796875</v>
      </c>
      <c r="G29" s="23" t="n">
        <f aca="false">G27*Assumptions!$D$19/100000</f>
        <v>6.3947724609375</v>
      </c>
      <c r="H29" s="23" t="n">
        <f aca="false">H27*Assumptions!$D$19/100000</f>
        <v>7.32734655761719</v>
      </c>
      <c r="I29" s="23" t="n">
        <f aca="false">I27*Assumptions!$D$19/100000</f>
        <v>8.25991831970215</v>
      </c>
      <c r="J29" s="23" t="n">
        <f aca="false">J27*Assumptions!$D$19/100000</f>
        <v>9.19248978996277</v>
      </c>
      <c r="K29" s="23" t="n">
        <f aca="false">K27*Assumptions!$D$19/100000</f>
        <v>10.1250612237453</v>
      </c>
      <c r="L29" s="23" t="n">
        <f aca="false">L27*Assumptions!$D$19/100000</f>
        <v>11.0576326529682</v>
      </c>
      <c r="M29" s="23" t="n">
        <f aca="false">M27*Assumptions!$D$19/100000</f>
        <v>11.990204081621</v>
      </c>
    </row>
    <row r="30" customFormat="false" ht="15" hidden="false" customHeight="true" outlineLevel="0" collapsed="false">
      <c r="A30" s="11" t="s">
        <v>114</v>
      </c>
      <c r="B30" s="23" t="n">
        <f aca="false">B28-B29</f>
        <v>0.648</v>
      </c>
      <c r="C30" s="23" t="n">
        <f aca="false">C28-C29</f>
        <v>1.053</v>
      </c>
      <c r="D30" s="23" t="n">
        <f aca="false">D28-D29</f>
        <v>1.427625</v>
      </c>
      <c r="E30" s="23" t="n">
        <f aca="false">E28-E29</f>
        <v>1.798453125</v>
      </c>
      <c r="F30" s="23" t="n">
        <f aca="false">F28-F29</f>
        <v>2.168806640625</v>
      </c>
      <c r="G30" s="23" t="n">
        <f aca="false">G28-G29</f>
        <v>2.53910083007812</v>
      </c>
      <c r="H30" s="23" t="n">
        <f aca="false">H28-H29</f>
        <v>2.90938760375977</v>
      </c>
      <c r="I30" s="23" t="n">
        <f aca="false">I28-I29</f>
        <v>3.27967345046997</v>
      </c>
      <c r="J30" s="23" t="n">
        <f aca="false">J28-J29</f>
        <v>3.64995918130875</v>
      </c>
      <c r="K30" s="23" t="n">
        <f aca="false">K28-K29</f>
        <v>4.02024489766359</v>
      </c>
      <c r="L30" s="23" t="n">
        <f aca="false">L28-L29</f>
        <v>4.39053061220795</v>
      </c>
      <c r="M30" s="23" t="n">
        <f aca="false">M28-M29</f>
        <v>4.76081632652599</v>
      </c>
    </row>
    <row r="31" customFormat="false" ht="15" hidden="false" customHeight="true" outlineLevel="0" collapsed="false">
      <c r="A31" s="11" t="s">
        <v>115</v>
      </c>
      <c r="B31" s="23" t="n">
        <f aca="false">B25*Assumptions!$D$25/100000</f>
        <v>2.2</v>
      </c>
      <c r="C31" s="23" t="n">
        <f aca="false">C25*Assumptions!$D$25/100000</f>
        <v>3.3</v>
      </c>
      <c r="D31" s="23" t="n">
        <f aca="false">D25*Assumptions!$D$25/100000</f>
        <v>4.4</v>
      </c>
      <c r="E31" s="23" t="n">
        <f aca="false">E25*Assumptions!$D$25/100000</f>
        <v>5.5</v>
      </c>
      <c r="F31" s="23" t="n">
        <f aca="false">F25*Assumptions!$D$25/100000</f>
        <v>6.6</v>
      </c>
      <c r="G31" s="23" t="n">
        <f aca="false">G25*Assumptions!$D$25/100000</f>
        <v>7.7</v>
      </c>
      <c r="H31" s="23" t="n">
        <f aca="false">H25*Assumptions!$D$25/100000</f>
        <v>8.8</v>
      </c>
      <c r="I31" s="23" t="n">
        <f aca="false">I25*Assumptions!$D$25/100000</f>
        <v>9.9</v>
      </c>
      <c r="J31" s="23" t="n">
        <f aca="false">J25*Assumptions!$D$25/100000</f>
        <v>11</v>
      </c>
      <c r="K31" s="23" t="n">
        <f aca="false">K25*Assumptions!$D$25/100000</f>
        <v>12.1</v>
      </c>
      <c r="L31" s="23" t="n">
        <f aca="false">L25*Assumptions!$D$25/100000</f>
        <v>13.2</v>
      </c>
      <c r="M31" s="23" t="n">
        <f aca="false">M25*Assumptions!$D$25/100000</f>
        <v>14.3</v>
      </c>
    </row>
    <row r="33" customFormat="false" ht="18" hidden="false" customHeight="true" outlineLevel="0" collapsed="false">
      <c r="A33" s="7" t="s">
        <v>118</v>
      </c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</row>
    <row r="34" customFormat="false" ht="15" hidden="false" customHeight="true" outlineLevel="0" collapsed="false">
      <c r="A34" s="8" t="s">
        <v>119</v>
      </c>
      <c r="B34" s="30" t="n">
        <f aca="false">B7+B16+B25</f>
        <v>9000</v>
      </c>
      <c r="C34" s="30" t="n">
        <f aca="false">C7+C16+C25</f>
        <v>10500</v>
      </c>
      <c r="D34" s="30" t="n">
        <f aca="false">D7+D16+D25</f>
        <v>18000</v>
      </c>
      <c r="E34" s="30" t="n">
        <f aca="false">E7+E16+E25</f>
        <v>18500</v>
      </c>
      <c r="F34" s="30" t="n">
        <f aca="false">F7+F16+F25</f>
        <v>26000</v>
      </c>
      <c r="G34" s="30" t="n">
        <f aca="false">G7+G16+G25</f>
        <v>24500</v>
      </c>
      <c r="H34" s="30" t="n">
        <f aca="false">H7+H16+H25</f>
        <v>30000</v>
      </c>
      <c r="I34" s="30" t="n">
        <f aca="false">I7+I16+I25</f>
        <v>28500</v>
      </c>
      <c r="J34" s="30" t="n">
        <f aca="false">J7+J16+J25</f>
        <v>34000</v>
      </c>
      <c r="K34" s="30" t="n">
        <f aca="false">K7+K16+K25</f>
        <v>32500</v>
      </c>
      <c r="L34" s="30" t="n">
        <f aca="false">L7+L16+L25</f>
        <v>38000</v>
      </c>
      <c r="M34" s="30" t="n">
        <f aca="false">M7+M16+M25</f>
        <v>36500</v>
      </c>
    </row>
    <row r="35" customFormat="false" ht="15" hidden="false" customHeight="true" outlineLevel="0" collapsed="false">
      <c r="A35" s="8" t="s">
        <v>110</v>
      </c>
      <c r="B35" s="30" t="n">
        <f aca="false">B8+B17+B26</f>
        <v>9000</v>
      </c>
      <c r="C35" s="30" t="n">
        <f aca="false">C8+C17+C26</f>
        <v>14527</v>
      </c>
      <c r="D35" s="30" t="n">
        <f aca="false">D8+D17+D26</f>
        <v>25788.693</v>
      </c>
      <c r="E35" s="30" t="n">
        <f aca="false">E8+E17+E26</f>
        <v>32643.013127</v>
      </c>
      <c r="F35" s="30" t="n">
        <f aca="false">F8+F17+F26</f>
        <v>45435.514628573</v>
      </c>
      <c r="G35" s="30" t="n">
        <f aca="false">G8+G17+G26</f>
        <v>51592.0254128383</v>
      </c>
      <c r="H35" s="30" t="n">
        <f aca="false">H8+H17+H26</f>
        <v>61938.8332705287</v>
      </c>
      <c r="I35" s="30" t="n">
        <f aca="false">I8+I17+I26</f>
        <v>66333.9371068899</v>
      </c>
      <c r="J35" s="30" t="n">
        <f aca="false">J8+J17+J26</f>
        <v>75404.041513201</v>
      </c>
      <c r="K35" s="30" t="n">
        <f aca="false">K8+K17+K26</f>
        <v>78870.9520775613</v>
      </c>
      <c r="L35" s="30" t="n">
        <f aca="false">L8+L17+L26</f>
        <v>87265.2689522914</v>
      </c>
      <c r="M35" s="30" t="n">
        <f aca="false">M8+M17+M26</f>
        <v>90239.8271993931</v>
      </c>
    </row>
    <row r="36" customFormat="false" ht="15" hidden="false" customHeight="true" outlineLevel="0" collapsed="false">
      <c r="A36" s="8" t="s">
        <v>111</v>
      </c>
      <c r="B36" s="30" t="n">
        <f aca="false">B9+B18+B27</f>
        <v>140400</v>
      </c>
      <c r="C36" s="30" t="n">
        <f aca="false">C9+C18+C27</f>
        <v>326922</v>
      </c>
      <c r="D36" s="30" t="n">
        <f aca="false">D9+D18+D27</f>
        <v>595850.598</v>
      </c>
      <c r="E36" s="30" t="n">
        <f aca="false">E9+E18+E27</f>
        <v>873223.896522</v>
      </c>
      <c r="F36" s="30" t="n">
        <f aca="false">F9+F18+F27</f>
        <v>1211647.57829348</v>
      </c>
      <c r="G36" s="30" t="n">
        <f aca="false">G9+G18+G27</f>
        <v>1468785.84723947</v>
      </c>
      <c r="H36" s="30" t="n">
        <f aca="false">H9+H18+H27</f>
        <v>1720834.45700148</v>
      </c>
      <c r="I36" s="30" t="n">
        <f aca="false">I9+I18+I27</f>
        <v>1915134.09680718</v>
      </c>
      <c r="J36" s="30" t="n">
        <f aca="false">J9+J18+J27</f>
        <v>2121417.49121324</v>
      </c>
      <c r="K36" s="30" t="n">
        <f aca="false">K9+K18+K27</f>
        <v>2282369.42678947</v>
      </c>
      <c r="L36" s="30" t="n">
        <f aca="false">L9+L18+L27</f>
        <v>2464347.53655707</v>
      </c>
      <c r="M36" s="30" t="n">
        <f aca="false">M9+M18+M27</f>
        <v>2607582.70033677</v>
      </c>
    </row>
    <row r="37" customFormat="false" ht="15" hidden="false" customHeight="true" outlineLevel="0" collapsed="false">
      <c r="A37" s="8" t="s">
        <v>112</v>
      </c>
      <c r="B37" s="31" t="n">
        <f aca="false">B10+B19+B28</f>
        <v>103.38</v>
      </c>
      <c r="C37" s="31" t="n">
        <f aca="false">C10+C19+C28</f>
        <v>234.0639</v>
      </c>
      <c r="D37" s="31" t="n">
        <f aca="false">D10+D19+D28</f>
        <v>426.1728141</v>
      </c>
      <c r="E37" s="31" t="n">
        <f aca="false">E10+E19+E28</f>
        <v>619.1821054719</v>
      </c>
      <c r="F37" s="31" t="n">
        <f aca="false">F10+F19+F28</f>
        <v>859.508688333614</v>
      </c>
      <c r="G37" s="31" t="n">
        <f aca="false">G10+G19+G28</f>
        <v>1038.20721198108</v>
      </c>
      <c r="H37" s="31" t="n">
        <f aca="false">H10+H19+H28</f>
        <v>1218.02118948376</v>
      </c>
      <c r="I37" s="31" t="n">
        <f aca="false">I10+I19+I28</f>
        <v>1352.71551735633</v>
      </c>
      <c r="J37" s="31" t="n">
        <f aca="false">J10+J19+J28</f>
        <v>1500.48796149964</v>
      </c>
      <c r="K37" s="31" t="n">
        <f aca="false">K10+K19+K28</f>
        <v>1611.83687888678</v>
      </c>
      <c r="L37" s="31" t="n">
        <f aca="false">L10+L19+L28</f>
        <v>1742.59493179847</v>
      </c>
      <c r="M37" s="31" t="n">
        <f aca="false">M10+M19+M28</f>
        <v>1841.54187158058</v>
      </c>
    </row>
    <row r="38" customFormat="false" ht="15" hidden="false" customHeight="true" outlineLevel="0" collapsed="false">
      <c r="A38" s="8" t="s">
        <v>113</v>
      </c>
      <c r="B38" s="31" t="n">
        <f aca="false">B11+B20+B29</f>
        <v>69.972</v>
      </c>
      <c r="C38" s="31" t="n">
        <f aca="false">C11+C20+C29</f>
        <v>159.68286</v>
      </c>
      <c r="D38" s="31" t="n">
        <f aca="false">D11+D20+D29</f>
        <v>290.68502994</v>
      </c>
      <c r="E38" s="31" t="n">
        <f aca="false">E11+E20+E29</f>
        <v>423.40105814526</v>
      </c>
      <c r="F38" s="31" t="n">
        <f aca="false">F11+F20+F29</f>
        <v>587.559401326311</v>
      </c>
      <c r="G38" s="31" t="n">
        <f aca="false">G11+G20+G29</f>
        <v>710.494201930258</v>
      </c>
      <c r="H38" s="31" t="n">
        <f aca="false">H11+H20+H29</f>
        <v>833.169130969609</v>
      </c>
      <c r="I38" s="31" t="n">
        <f aca="false">I11+I20+I29</f>
        <v>925.933381168842</v>
      </c>
      <c r="J38" s="31" t="n">
        <f aca="false">J11+J20+J29</f>
        <v>1026.63826129738</v>
      </c>
      <c r="K38" s="31" t="n">
        <f aca="false">K11+K20+K29</f>
        <v>1103.39467191465</v>
      </c>
      <c r="L38" s="31" t="n">
        <f aca="false">L11+L20+L29</f>
        <v>1192.43269248551</v>
      </c>
      <c r="M38" s="31" t="n">
        <f aca="false">M11+M20+M29</f>
        <v>1260.68494187767</v>
      </c>
    </row>
    <row r="39" customFormat="false" ht="15" hidden="false" customHeight="true" outlineLevel="0" collapsed="false">
      <c r="A39" s="8" t="s">
        <v>114</v>
      </c>
      <c r="B39" s="31" t="n">
        <f aca="false">B12+B21+B30</f>
        <v>33.408</v>
      </c>
      <c r="C39" s="31" t="n">
        <f aca="false">C12+C21+C30</f>
        <v>74.38104</v>
      </c>
      <c r="D39" s="31" t="n">
        <f aca="false">D12+D21+D30</f>
        <v>135.48778416</v>
      </c>
      <c r="E39" s="31" t="n">
        <f aca="false">E12+E21+E30</f>
        <v>195.78104732664</v>
      </c>
      <c r="F39" s="31" t="n">
        <f aca="false">F12+F21+F30</f>
        <v>271.949287007303</v>
      </c>
      <c r="G39" s="31" t="n">
        <f aca="false">G12+G21+G30</f>
        <v>327.713010050819</v>
      </c>
      <c r="H39" s="31" t="n">
        <f aca="false">H12+H21+H30</f>
        <v>384.852058514148</v>
      </c>
      <c r="I39" s="31" t="n">
        <f aca="false">I12+I21+I30</f>
        <v>426.782136187487</v>
      </c>
      <c r="J39" s="31" t="n">
        <f aca="false">J12+J21+J30</f>
        <v>473.849700202261</v>
      </c>
      <c r="K39" s="31" t="n">
        <f aca="false">K12+K21+K30</f>
        <v>508.442206972122</v>
      </c>
      <c r="L39" s="31" t="n">
        <f aca="false">L12+L21+L30</f>
        <v>550.162239312961</v>
      </c>
      <c r="M39" s="31" t="n">
        <f aca="false">M12+M21+M30</f>
        <v>580.856929702901</v>
      </c>
    </row>
    <row r="40" customFormat="false" ht="15" hidden="false" customHeight="true" outlineLevel="0" collapsed="false">
      <c r="A40" s="8" t="s">
        <v>115</v>
      </c>
      <c r="B40" s="31" t="n">
        <f aca="false">B13+B22+B31</f>
        <v>20.2</v>
      </c>
      <c r="C40" s="31" t="n">
        <f aca="false">C13+C22+C31</f>
        <v>28.8</v>
      </c>
      <c r="D40" s="31" t="n">
        <f aca="false">D13+D22+D31</f>
        <v>46.4</v>
      </c>
      <c r="E40" s="31" t="n">
        <f aca="false">E13+E22+E31</f>
        <v>53.5</v>
      </c>
      <c r="F40" s="31" t="n">
        <f aca="false">F13+F22+F31</f>
        <v>71.1</v>
      </c>
      <c r="G40" s="31" t="n">
        <f aca="false">G13+G22+G31</f>
        <v>71.2</v>
      </c>
      <c r="H40" s="31" t="n">
        <f aca="false">H13+H22+H31</f>
        <v>81.8</v>
      </c>
      <c r="I40" s="31" t="n">
        <f aca="false">I13+I22+I31</f>
        <v>81.9</v>
      </c>
      <c r="J40" s="31" t="n">
        <f aca="false">J13+J22+J31</f>
        <v>92.5</v>
      </c>
      <c r="K40" s="31" t="n">
        <f aca="false">K13+K22+K31</f>
        <v>92.6</v>
      </c>
      <c r="L40" s="31" t="n">
        <f aca="false">L13+L22+L31</f>
        <v>103.2</v>
      </c>
      <c r="M40" s="31" t="n">
        <f aca="false">M13+M22+M31</f>
        <v>103.3</v>
      </c>
    </row>
  </sheetData>
  <mergeCells count="9">
    <mergeCell ref="A1:M1"/>
    <mergeCell ref="A2:M2"/>
    <mergeCell ref="B3:E3"/>
    <mergeCell ref="F3:I3"/>
    <mergeCell ref="J3:M3"/>
    <mergeCell ref="A6:M6"/>
    <mergeCell ref="A15:M15"/>
    <mergeCell ref="A24:M24"/>
    <mergeCell ref="A33:M3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D9432E"/>
    <pageSetUpPr fitToPage="false"/>
  </sheetPr>
  <dimension ref="A1:Q2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2"/>
    <col collapsed="false" customWidth="true" hidden="false" outlineLevel="0" max="13" min="2" style="1" width="10"/>
    <col collapsed="false" customWidth="true" hidden="false" outlineLevel="0" max="14" min="14" style="1" width="4"/>
    <col collapsed="false" customWidth="true" hidden="false" outlineLevel="0" max="17" min="15" style="1" width="12"/>
  </cols>
  <sheetData>
    <row r="1" customFormat="false" ht="24" hidden="false" customHeight="true" outlineLevel="0" collapsed="false">
      <c r="A1" s="10" t="s">
        <v>120</v>
      </c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</row>
    <row r="2" customFormat="false" ht="15" hidden="false" customHeight="true" outlineLevel="0" collapsed="false">
      <c r="A2" s="4" t="s">
        <v>121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3" customFormat="false" ht="6" hidden="false" customHeight="true" outlineLevel="0" collapsed="false">
      <c r="B3" s="20" t="s">
        <v>122</v>
      </c>
      <c r="C3" s="20"/>
      <c r="D3" s="20"/>
      <c r="E3" s="20"/>
      <c r="F3" s="20" t="s">
        <v>61</v>
      </c>
      <c r="G3" s="20"/>
      <c r="H3" s="20"/>
      <c r="I3" s="20"/>
      <c r="J3" s="20" t="s">
        <v>62</v>
      </c>
      <c r="K3" s="20"/>
      <c r="L3" s="20"/>
      <c r="M3" s="20"/>
    </row>
    <row r="4" customFormat="false" ht="15" hidden="false" customHeight="true" outlineLevel="0" collapsed="false">
      <c r="A4" s="29" t="s">
        <v>45</v>
      </c>
      <c r="B4" s="14" t="s">
        <v>96</v>
      </c>
      <c r="C4" s="14" t="s">
        <v>97</v>
      </c>
      <c r="D4" s="14" t="s">
        <v>98</v>
      </c>
      <c r="E4" s="14" t="s">
        <v>99</v>
      </c>
      <c r="F4" s="14" t="s">
        <v>100</v>
      </c>
      <c r="G4" s="14" t="s">
        <v>101</v>
      </c>
      <c r="H4" s="14" t="s">
        <v>102</v>
      </c>
      <c r="I4" s="14" t="s">
        <v>103</v>
      </c>
      <c r="J4" s="14" t="s">
        <v>104</v>
      </c>
      <c r="K4" s="14" t="s">
        <v>105</v>
      </c>
      <c r="L4" s="14" t="s">
        <v>106</v>
      </c>
      <c r="M4" s="14" t="s">
        <v>107</v>
      </c>
      <c r="O4" s="32" t="s">
        <v>123</v>
      </c>
      <c r="P4" s="32" t="s">
        <v>124</v>
      </c>
      <c r="Q4" s="32" t="s">
        <v>125</v>
      </c>
    </row>
    <row r="6" customFormat="false" ht="15" hidden="false" customHeight="true" outlineLevel="0" collapsed="false">
      <c r="A6" s="8" t="s">
        <v>112</v>
      </c>
      <c r="B6" s="33" t="n">
        <f aca="false">Volume_Build!B37</f>
        <v>103.38</v>
      </c>
      <c r="C6" s="33" t="n">
        <f aca="false">Volume_Build!C37</f>
        <v>234.0639</v>
      </c>
      <c r="D6" s="33" t="n">
        <f aca="false">Volume_Build!D37</f>
        <v>426.1728141</v>
      </c>
      <c r="E6" s="33" t="n">
        <f aca="false">Volume_Build!E37</f>
        <v>619.1821054719</v>
      </c>
      <c r="F6" s="33" t="n">
        <f aca="false">Volume_Build!F37</f>
        <v>859.508688333614</v>
      </c>
      <c r="G6" s="33" t="n">
        <f aca="false">Volume_Build!G37</f>
        <v>1038.20721198108</v>
      </c>
      <c r="H6" s="33" t="n">
        <f aca="false">Volume_Build!H37</f>
        <v>1218.02118948376</v>
      </c>
      <c r="I6" s="33" t="n">
        <f aca="false">Volume_Build!I37</f>
        <v>1352.71551735633</v>
      </c>
      <c r="J6" s="33" t="n">
        <f aca="false">Volume_Build!J37</f>
        <v>1500.48796149964</v>
      </c>
      <c r="K6" s="33" t="n">
        <f aca="false">Volume_Build!K37</f>
        <v>1611.83687888678</v>
      </c>
      <c r="L6" s="33" t="n">
        <f aca="false">Volume_Build!L37</f>
        <v>1742.59493179847</v>
      </c>
      <c r="M6" s="33" t="n">
        <f aca="false">Volume_Build!M37</f>
        <v>1841.54187158058</v>
      </c>
      <c r="O6" s="31" t="n">
        <f aca="false">SUM(B6:E6)</f>
        <v>1382.7988195719</v>
      </c>
      <c r="P6" s="31" t="n">
        <f aca="false">SUM(F6:I6)</f>
        <v>4468.45260715478</v>
      </c>
      <c r="Q6" s="31" t="n">
        <f aca="false">SUM(J6:M6)</f>
        <v>6696.46164376546</v>
      </c>
    </row>
    <row r="7" customFormat="false" ht="15" hidden="false" customHeight="true" outlineLevel="0" collapsed="false">
      <c r="A7" s="11" t="s">
        <v>113</v>
      </c>
      <c r="B7" s="33" t="n">
        <f aca="false">Volume_Build!B38</f>
        <v>69.972</v>
      </c>
      <c r="C7" s="33" t="n">
        <f aca="false">Volume_Build!C38</f>
        <v>159.68286</v>
      </c>
      <c r="D7" s="33" t="n">
        <f aca="false">Volume_Build!D38</f>
        <v>290.68502994</v>
      </c>
      <c r="E7" s="33" t="n">
        <f aca="false">Volume_Build!E38</f>
        <v>423.40105814526</v>
      </c>
      <c r="F7" s="33" t="n">
        <f aca="false">Volume_Build!F38</f>
        <v>587.559401326311</v>
      </c>
      <c r="G7" s="33" t="n">
        <f aca="false">Volume_Build!G38</f>
        <v>710.494201930258</v>
      </c>
      <c r="H7" s="33" t="n">
        <f aca="false">Volume_Build!H38</f>
        <v>833.169130969609</v>
      </c>
      <c r="I7" s="33" t="n">
        <f aca="false">Volume_Build!I38</f>
        <v>925.933381168842</v>
      </c>
      <c r="J7" s="33" t="n">
        <f aca="false">Volume_Build!J38</f>
        <v>1026.63826129738</v>
      </c>
      <c r="K7" s="33" t="n">
        <f aca="false">Volume_Build!K38</f>
        <v>1103.39467191465</v>
      </c>
      <c r="L7" s="33" t="n">
        <f aca="false">Volume_Build!L38</f>
        <v>1192.43269248551</v>
      </c>
      <c r="M7" s="33" t="n">
        <f aca="false">Volume_Build!M38</f>
        <v>1260.68494187767</v>
      </c>
      <c r="O7" s="23" t="n">
        <f aca="false">SUM(B7:E7)</f>
        <v>943.74094808526</v>
      </c>
      <c r="P7" s="23" t="n">
        <f aca="false">SUM(F7:I7)</f>
        <v>3057.15611539502</v>
      </c>
      <c r="Q7" s="23" t="n">
        <f aca="false">SUM(J7:M7)</f>
        <v>4583.15056757521</v>
      </c>
    </row>
    <row r="8" customFormat="false" ht="15" hidden="false" customHeight="true" outlineLevel="0" collapsed="false">
      <c r="A8" s="8" t="s">
        <v>126</v>
      </c>
      <c r="B8" s="31" t="n">
        <f aca="false">B6-B7</f>
        <v>33.408</v>
      </c>
      <c r="C8" s="31" t="n">
        <f aca="false">C6-C7</f>
        <v>74.38104</v>
      </c>
      <c r="D8" s="31" t="n">
        <f aca="false">D6-D7</f>
        <v>135.48778416</v>
      </c>
      <c r="E8" s="31" t="n">
        <f aca="false">E6-E7</f>
        <v>195.78104732664</v>
      </c>
      <c r="F8" s="31" t="n">
        <f aca="false">F6-F7</f>
        <v>271.949287007303</v>
      </c>
      <c r="G8" s="31" t="n">
        <f aca="false">G6-G7</f>
        <v>327.713010050819</v>
      </c>
      <c r="H8" s="31" t="n">
        <f aca="false">H6-H7</f>
        <v>384.852058514148</v>
      </c>
      <c r="I8" s="31" t="n">
        <f aca="false">I6-I7</f>
        <v>426.782136187487</v>
      </c>
      <c r="J8" s="31" t="n">
        <f aca="false">J6-J7</f>
        <v>473.849700202261</v>
      </c>
      <c r="K8" s="31" t="n">
        <f aca="false">K6-K7</f>
        <v>508.442206972122</v>
      </c>
      <c r="L8" s="31" t="n">
        <f aca="false">L6-L7</f>
        <v>550.162239312961</v>
      </c>
      <c r="M8" s="31" t="n">
        <f aca="false">M6-M7</f>
        <v>580.856929702901</v>
      </c>
      <c r="O8" s="31" t="n">
        <f aca="false">SUM(B8:E8)</f>
        <v>439.05787148664</v>
      </c>
      <c r="P8" s="31" t="n">
        <f aca="false">SUM(F8:I8)</f>
        <v>1411.29649175976</v>
      </c>
      <c r="Q8" s="31" t="n">
        <f aca="false">SUM(J8:M8)</f>
        <v>2113.31107619025</v>
      </c>
    </row>
    <row r="9" customFormat="false" ht="15" hidden="false" customHeight="true" outlineLevel="0" collapsed="false">
      <c r="A9" s="11" t="s">
        <v>127</v>
      </c>
      <c r="B9" s="23" t="n">
        <f aca="false">B6*Assumptions!$B$36</f>
        <v>1.24056</v>
      </c>
      <c r="C9" s="23" t="n">
        <f aca="false">C6*Assumptions!$B$36</f>
        <v>2.8087668</v>
      </c>
      <c r="D9" s="23" t="n">
        <f aca="false">D6*Assumptions!$B$36</f>
        <v>5.1140737692</v>
      </c>
      <c r="E9" s="23" t="n">
        <f aca="false">E6*Assumptions!$B$36</f>
        <v>7.4301852656628</v>
      </c>
      <c r="F9" s="23" t="n">
        <f aca="false">F6*Assumptions!$B$36</f>
        <v>10.3141042600034</v>
      </c>
      <c r="G9" s="23" t="n">
        <f aca="false">G6*Assumptions!$B$36</f>
        <v>12.4584865437729</v>
      </c>
      <c r="H9" s="23" t="n">
        <f aca="false">H6*Assumptions!$B$36</f>
        <v>14.6162542738051</v>
      </c>
      <c r="I9" s="23" t="n">
        <f aca="false">I6*Assumptions!$B$36</f>
        <v>16.232586208276</v>
      </c>
      <c r="J9" s="23" t="n">
        <f aca="false">J6*Assumptions!$B$36</f>
        <v>18.0058555379956</v>
      </c>
      <c r="K9" s="23" t="n">
        <f aca="false">K6*Assumptions!$B$36</f>
        <v>19.3420425466413</v>
      </c>
      <c r="L9" s="23" t="n">
        <f aca="false">L6*Assumptions!$B$36</f>
        <v>20.9111391815816</v>
      </c>
      <c r="M9" s="23" t="n">
        <f aca="false">M6*Assumptions!$B$36</f>
        <v>22.0985024589669</v>
      </c>
      <c r="O9" s="23" t="n">
        <f aca="false">SUM(B9:E9)</f>
        <v>16.5935858348628</v>
      </c>
      <c r="P9" s="23" t="n">
        <f aca="false">SUM(F9:I9)</f>
        <v>53.6214312858573</v>
      </c>
      <c r="Q9" s="23" t="n">
        <f aca="false">SUM(J9:M9)</f>
        <v>80.3575397251855</v>
      </c>
    </row>
    <row r="10" customFormat="false" ht="15" hidden="false" customHeight="true" outlineLevel="0" collapsed="false">
      <c r="A10" s="8" t="s">
        <v>128</v>
      </c>
      <c r="B10" s="31" t="n">
        <f aca="false">B8+B9</f>
        <v>34.64856</v>
      </c>
      <c r="C10" s="31" t="n">
        <f aca="false">C8+C9</f>
        <v>77.1898068</v>
      </c>
      <c r="D10" s="31" t="n">
        <f aca="false">D8+D9</f>
        <v>140.6018579292</v>
      </c>
      <c r="E10" s="31" t="n">
        <f aca="false">E8+E9</f>
        <v>203.211232592303</v>
      </c>
      <c r="F10" s="31" t="n">
        <f aca="false">F8+F9</f>
        <v>282.263391267306</v>
      </c>
      <c r="G10" s="31" t="n">
        <f aca="false">G8+G9</f>
        <v>340.171496594592</v>
      </c>
      <c r="H10" s="31" t="n">
        <f aca="false">H8+H9</f>
        <v>399.468312787953</v>
      </c>
      <c r="I10" s="31" t="n">
        <f aca="false">I8+I9</f>
        <v>443.014722395763</v>
      </c>
      <c r="J10" s="31" t="n">
        <f aca="false">J8+J9</f>
        <v>491.855555740257</v>
      </c>
      <c r="K10" s="31" t="n">
        <f aca="false">K8+K9</f>
        <v>527.784249518763</v>
      </c>
      <c r="L10" s="31" t="n">
        <f aca="false">L8+L9</f>
        <v>571.073378494543</v>
      </c>
      <c r="M10" s="31" t="n">
        <f aca="false">M8+M9</f>
        <v>602.955432161868</v>
      </c>
      <c r="O10" s="31" t="n">
        <f aca="false">SUM(B10:E10)</f>
        <v>455.651457321503</v>
      </c>
      <c r="P10" s="31" t="n">
        <f aca="false">SUM(F10:I10)</f>
        <v>1464.91792304561</v>
      </c>
      <c r="Q10" s="31" t="n">
        <f aca="false">SUM(J10:M10)</f>
        <v>2193.66861591543</v>
      </c>
    </row>
    <row r="12" customFormat="false" ht="15" hidden="false" customHeight="true" outlineLevel="0" collapsed="false">
      <c r="A12" s="11" t="s">
        <v>129</v>
      </c>
      <c r="B12" s="23" t="n">
        <f aca="false">Volume_Build!B40*(1-Assumptions!$B$37)</f>
        <v>17.776</v>
      </c>
      <c r="C12" s="23" t="n">
        <f aca="false">Volume_Build!C40*(1-Assumptions!$B$37)</f>
        <v>25.344</v>
      </c>
      <c r="D12" s="23" t="n">
        <f aca="false">Volume_Build!D40*(1-Assumptions!$B$37)</f>
        <v>40.832</v>
      </c>
      <c r="E12" s="23" t="n">
        <f aca="false">Volume_Build!E40*(1-Assumptions!$B$37)</f>
        <v>47.08</v>
      </c>
      <c r="F12" s="23" t="n">
        <f aca="false">Volume_Build!F40*(1-Assumptions!$B$37)</f>
        <v>62.568</v>
      </c>
      <c r="G12" s="23" t="n">
        <f aca="false">Volume_Build!G40*(1-Assumptions!$B$37)</f>
        <v>62.656</v>
      </c>
      <c r="H12" s="23" t="n">
        <f aca="false">Volume_Build!H40*(1-Assumptions!$B$37)</f>
        <v>71.984</v>
      </c>
      <c r="I12" s="23" t="n">
        <f aca="false">Volume_Build!I40*(1-Assumptions!$B$37)</f>
        <v>72.072</v>
      </c>
      <c r="J12" s="23" t="n">
        <f aca="false">Volume_Build!J40*(1-Assumptions!$B$37)</f>
        <v>81.4</v>
      </c>
      <c r="K12" s="23" t="n">
        <f aca="false">Volume_Build!K40*(1-Assumptions!$B$37)</f>
        <v>81.488</v>
      </c>
      <c r="L12" s="23" t="n">
        <f aca="false">Volume_Build!L40*(1-Assumptions!$B$37)</f>
        <v>90.816</v>
      </c>
      <c r="M12" s="23" t="n">
        <f aca="false">Volume_Build!M40*(1-Assumptions!$B$37)</f>
        <v>90.904</v>
      </c>
      <c r="O12" s="23" t="n">
        <f aca="false">SUM(B12:E12)</f>
        <v>131.032</v>
      </c>
      <c r="P12" s="23" t="n">
        <f aca="false">SUM(F12:I12)</f>
        <v>269.28</v>
      </c>
      <c r="Q12" s="23" t="n">
        <f aca="false">SUM(J12:M12)</f>
        <v>344.608</v>
      </c>
    </row>
    <row r="13" customFormat="false" ht="15" hidden="false" customHeight="true" outlineLevel="0" collapsed="false">
      <c r="A13" s="11" t="s">
        <v>130</v>
      </c>
      <c r="B13" s="23" t="n">
        <f aca="false">Assumptions!$B$30</f>
        <v>25</v>
      </c>
      <c r="C13" s="23" t="n">
        <f aca="false">Assumptions!$B$30</f>
        <v>25</v>
      </c>
      <c r="D13" s="23" t="n">
        <f aca="false">Assumptions!$B$30</f>
        <v>25</v>
      </c>
      <c r="E13" s="23" t="n">
        <f aca="false">Assumptions!$B$30</f>
        <v>25</v>
      </c>
      <c r="F13" s="23" t="n">
        <f aca="false">Assumptions!$C$30</f>
        <v>40</v>
      </c>
      <c r="G13" s="23" t="n">
        <f aca="false">Assumptions!$C$30</f>
        <v>40</v>
      </c>
      <c r="H13" s="23" t="n">
        <f aca="false">Assumptions!$C$30</f>
        <v>40</v>
      </c>
      <c r="I13" s="23" t="n">
        <f aca="false">Assumptions!$C$30</f>
        <v>40</v>
      </c>
      <c r="J13" s="23" t="n">
        <f aca="false">Assumptions!$D$30</f>
        <v>55</v>
      </c>
      <c r="K13" s="23" t="n">
        <f aca="false">Assumptions!$D$30</f>
        <v>55</v>
      </c>
      <c r="L13" s="23" t="n">
        <f aca="false">Assumptions!$D$30</f>
        <v>55</v>
      </c>
      <c r="M13" s="23" t="n">
        <f aca="false">Assumptions!$D$30</f>
        <v>55</v>
      </c>
      <c r="O13" s="23" t="n">
        <f aca="false">SUM(B13:E13)</f>
        <v>100</v>
      </c>
      <c r="P13" s="23" t="n">
        <f aca="false">SUM(F13:I13)</f>
        <v>160</v>
      </c>
      <c r="Q13" s="23" t="n">
        <f aca="false">SUM(J13:M13)</f>
        <v>220</v>
      </c>
    </row>
    <row r="14" customFormat="false" ht="15" hidden="false" customHeight="true" outlineLevel="0" collapsed="false">
      <c r="A14" s="11" t="s">
        <v>131</v>
      </c>
      <c r="B14" s="23" t="n">
        <f aca="false">Assumptions!$B$31</f>
        <v>30</v>
      </c>
      <c r="C14" s="23" t="n">
        <f aca="false">Assumptions!$B$31</f>
        <v>30</v>
      </c>
      <c r="D14" s="23" t="n">
        <f aca="false">Assumptions!$B$31</f>
        <v>30</v>
      </c>
      <c r="E14" s="23" t="n">
        <f aca="false">Assumptions!$B$31</f>
        <v>30</v>
      </c>
      <c r="F14" s="23" t="n">
        <f aca="false">Assumptions!$C$31</f>
        <v>55</v>
      </c>
      <c r="G14" s="23" t="n">
        <f aca="false">Assumptions!$C$31</f>
        <v>55</v>
      </c>
      <c r="H14" s="23" t="n">
        <f aca="false">Assumptions!$C$31</f>
        <v>55</v>
      </c>
      <c r="I14" s="23" t="n">
        <f aca="false">Assumptions!$C$31</f>
        <v>55</v>
      </c>
      <c r="J14" s="23" t="n">
        <f aca="false">Assumptions!$D$31</f>
        <v>85</v>
      </c>
      <c r="K14" s="23" t="n">
        <f aca="false">Assumptions!$D$31</f>
        <v>85</v>
      </c>
      <c r="L14" s="23" t="n">
        <f aca="false">Assumptions!$D$31</f>
        <v>85</v>
      </c>
      <c r="M14" s="23" t="n">
        <f aca="false">Assumptions!$D$31</f>
        <v>85</v>
      </c>
      <c r="O14" s="23" t="n">
        <f aca="false">SUM(B14:E14)</f>
        <v>120</v>
      </c>
      <c r="P14" s="23" t="n">
        <f aca="false">SUM(F14:I14)</f>
        <v>220</v>
      </c>
      <c r="Q14" s="23" t="n">
        <f aca="false">SUM(J14:M14)</f>
        <v>340</v>
      </c>
    </row>
    <row r="15" customFormat="false" ht="15" hidden="false" customHeight="true" outlineLevel="0" collapsed="false">
      <c r="A15" s="8" t="s">
        <v>132</v>
      </c>
      <c r="B15" s="31" t="n">
        <f aca="false">B10-B12-B13-B14</f>
        <v>-38.12744</v>
      </c>
      <c r="C15" s="31" t="n">
        <f aca="false">C10-C12-C13-C14</f>
        <v>-3.15419319999999</v>
      </c>
      <c r="D15" s="31" t="n">
        <f aca="false">D10-D12-D13-D14</f>
        <v>44.7698579291999</v>
      </c>
      <c r="E15" s="31" t="n">
        <f aca="false">E10-E12-E13-E14</f>
        <v>101.131232592303</v>
      </c>
      <c r="F15" s="31" t="n">
        <f aca="false">F10-F12-F13-F14</f>
        <v>124.695391267306</v>
      </c>
      <c r="G15" s="31" t="n">
        <f aca="false">G10-G12-G13-G14</f>
        <v>182.515496594592</v>
      </c>
      <c r="H15" s="31" t="n">
        <f aca="false">H10-H12-H13-H14</f>
        <v>232.484312787953</v>
      </c>
      <c r="I15" s="31" t="n">
        <f aca="false">I10-I12-I13-I14</f>
        <v>275.942722395763</v>
      </c>
      <c r="J15" s="31" t="n">
        <f aca="false">J10-J12-J13-J14</f>
        <v>270.455555740257</v>
      </c>
      <c r="K15" s="31" t="n">
        <f aca="false">K10-K12-K13-K14</f>
        <v>306.296249518763</v>
      </c>
      <c r="L15" s="31" t="n">
        <f aca="false">L10-L12-L13-L14</f>
        <v>340.257378494543</v>
      </c>
      <c r="M15" s="31" t="n">
        <f aca="false">M10-M12-M13-M14</f>
        <v>372.051432161868</v>
      </c>
      <c r="O15" s="31" t="n">
        <f aca="false">SUM(B15:E15)</f>
        <v>104.619457321503</v>
      </c>
      <c r="P15" s="31" t="n">
        <f aca="false">SUM(F15:I15)</f>
        <v>815.637923045614</v>
      </c>
      <c r="Q15" s="31" t="n">
        <f aca="false">SUM(J15:M15)</f>
        <v>1289.06061591543</v>
      </c>
    </row>
    <row r="16" customFormat="false" ht="15" hidden="false" customHeight="true" outlineLevel="0" collapsed="false">
      <c r="A16" s="11" t="s">
        <v>133</v>
      </c>
      <c r="B16" s="17" t="n">
        <f aca="false">B15/B6</f>
        <v>-0.368808667053589</v>
      </c>
      <c r="C16" s="17" t="n">
        <f aca="false">C15/C6</f>
        <v>-0.0134757781956123</v>
      </c>
      <c r="D16" s="17" t="n">
        <f aca="false">D15/D6</f>
        <v>0.105050947521713</v>
      </c>
      <c r="E16" s="17" t="n">
        <f aca="false">E15/E6</f>
        <v>0.16333035418591</v>
      </c>
      <c r="F16" s="17" t="n">
        <f aca="false">F15/F6</f>
        <v>0.145077522728783</v>
      </c>
      <c r="G16" s="17" t="n">
        <f aca="false">G15/G6</f>
        <v>0.175798717720638</v>
      </c>
      <c r="H16" s="17" t="n">
        <f aca="false">H15/H6</f>
        <v>0.190870499458625</v>
      </c>
      <c r="I16" s="17" t="n">
        <f aca="false">I15/I6</f>
        <v>0.203991688463107</v>
      </c>
      <c r="J16" s="17" t="n">
        <f aca="false">J15/J6</f>
        <v>0.180245068724147</v>
      </c>
      <c r="K16" s="17" t="n">
        <f aca="false">K15/K6</f>
        <v>0.190029309746473</v>
      </c>
      <c r="L16" s="17" t="n">
        <f aca="false">L15/L6</f>
        <v>0.195259019916565</v>
      </c>
      <c r="M16" s="17" t="n">
        <f aca="false">M15/M6</f>
        <v>0.202032567330408</v>
      </c>
      <c r="O16" s="17" t="n">
        <f aca="false">O15/O6</f>
        <v>0.0756577571811147</v>
      </c>
      <c r="P16" s="17" t="n">
        <f aca="false">P15/P6</f>
        <v>0.182532521826378</v>
      </c>
      <c r="Q16" s="17" t="n">
        <f aca="false">Q15/Q6</f>
        <v>0.192498767930012</v>
      </c>
    </row>
    <row r="17" customFormat="false" ht="15" hidden="false" customHeight="true" outlineLevel="0" collapsed="false">
      <c r="A17" s="8" t="s">
        <v>134</v>
      </c>
      <c r="B17" s="31" t="n">
        <f aca="false">B15</f>
        <v>-38.12744</v>
      </c>
      <c r="C17" s="31" t="n">
        <f aca="false">B17+C15</f>
        <v>-41.2816332</v>
      </c>
      <c r="D17" s="31" t="n">
        <f aca="false">C17+D15</f>
        <v>3.48822472919994</v>
      </c>
      <c r="E17" s="31" t="n">
        <f aca="false">D17+E15</f>
        <v>104.619457321503</v>
      </c>
      <c r="F17" s="31" t="n">
        <f aca="false">E17+F15</f>
        <v>229.314848588809</v>
      </c>
      <c r="G17" s="31" t="n">
        <f aca="false">F17+G15</f>
        <v>411.830345183401</v>
      </c>
      <c r="H17" s="31" t="n">
        <f aca="false">G17+H15</f>
        <v>644.314657971353</v>
      </c>
      <c r="I17" s="31" t="n">
        <f aca="false">H17+I15</f>
        <v>920.257380367116</v>
      </c>
      <c r="J17" s="31" t="n">
        <f aca="false">I17+J15</f>
        <v>1190.71293610737</v>
      </c>
      <c r="K17" s="31" t="n">
        <f aca="false">J17+K15</f>
        <v>1497.00918562614</v>
      </c>
      <c r="L17" s="31" t="n">
        <f aca="false">K17+L15</f>
        <v>1837.26656412068</v>
      </c>
      <c r="M17" s="31" t="n">
        <f aca="false">L17+M15</f>
        <v>2209.31799628255</v>
      </c>
    </row>
    <row r="19" customFormat="false" ht="18" hidden="false" customHeight="true" outlineLevel="0" collapsed="false">
      <c r="A19" s="7" t="s">
        <v>135</v>
      </c>
      <c r="B19" s="7"/>
      <c r="C19" s="7"/>
      <c r="D19" s="7"/>
      <c r="E19" s="7"/>
      <c r="F19" s="7"/>
      <c r="G19" s="7"/>
      <c r="H19" s="7"/>
      <c r="I19" s="7"/>
      <c r="J19" s="7"/>
      <c r="K19" s="7"/>
      <c r="L19" s="7"/>
      <c r="M19" s="7"/>
    </row>
    <row r="20" customFormat="false" ht="15" hidden="false" customHeight="true" outlineLevel="0" collapsed="false">
      <c r="A20" s="11" t="s">
        <v>136</v>
      </c>
      <c r="B20" s="23" t="n">
        <f aca="false">B8-Volume_Build!B40-B13-B14</f>
        <v>-41.792</v>
      </c>
      <c r="C20" s="23" t="n">
        <f aca="false">C8-Volume_Build!C40-C13-C14</f>
        <v>-9.41895999999998</v>
      </c>
      <c r="D20" s="23" t="n">
        <f aca="false">D8-Volume_Build!D40-D13-D14</f>
        <v>34.0877841599999</v>
      </c>
      <c r="E20" s="23" t="n">
        <f aca="false">E8-Volume_Build!E40-E13-E14</f>
        <v>87.2810473266401</v>
      </c>
      <c r="F20" s="23" t="n">
        <f aca="false">F8-Volume_Build!F40-F13-F14</f>
        <v>105.849287007303</v>
      </c>
      <c r="G20" s="23" t="n">
        <f aca="false">G8-Volume_Build!G40-G13-G14</f>
        <v>161.513010050819</v>
      </c>
      <c r="H20" s="23" t="n">
        <f aca="false">H8-Volume_Build!H40-H13-H14</f>
        <v>208.052058514148</v>
      </c>
      <c r="I20" s="23" t="n">
        <f aca="false">I8-Volume_Build!I40-I13-I14</f>
        <v>249.882136187487</v>
      </c>
      <c r="J20" s="23" t="n">
        <f aca="false">J8-Volume_Build!J40-J13-J14</f>
        <v>241.349700202261</v>
      </c>
      <c r="K20" s="23" t="n">
        <f aca="false">K8-Volume_Build!K40-K13-K14</f>
        <v>275.842206972122</v>
      </c>
      <c r="L20" s="23" t="n">
        <f aca="false">L8-Volume_Build!L40-L13-L14</f>
        <v>306.962239312961</v>
      </c>
      <c r="M20" s="23" t="n">
        <f aca="false">M8-Volume_Build!M40-M13-M14</f>
        <v>337.556929702901</v>
      </c>
      <c r="O20" s="23" t="n">
        <f aca="false">SUM(B20:E20)</f>
        <v>70.15787148664</v>
      </c>
      <c r="P20" s="23" t="n">
        <f aca="false">SUM(F20:I20)</f>
        <v>725.296491759756</v>
      </c>
      <c r="Q20" s="23" t="n">
        <f aca="false">SUM(J20:M20)</f>
        <v>1161.71107619025</v>
      </c>
    </row>
    <row r="21" customFormat="false" ht="15" hidden="false" customHeight="true" outlineLevel="0" collapsed="false">
      <c r="A21" s="8" t="s">
        <v>137</v>
      </c>
      <c r="B21" s="31" t="n">
        <f aca="false">B15-B20</f>
        <v>3.66456000000001</v>
      </c>
      <c r="C21" s="31" t="n">
        <f aca="false">C15-C20</f>
        <v>6.2647668</v>
      </c>
      <c r="D21" s="31" t="n">
        <f aca="false">D15-D20</f>
        <v>10.6820737692</v>
      </c>
      <c r="E21" s="31" t="n">
        <f aca="false">E15-E20</f>
        <v>13.8501852656628</v>
      </c>
      <c r="F21" s="31" t="n">
        <f aca="false">F15-F20</f>
        <v>18.8461042600034</v>
      </c>
      <c r="G21" s="31" t="n">
        <f aca="false">G15-G20</f>
        <v>21.0024865437729</v>
      </c>
      <c r="H21" s="31" t="n">
        <f aca="false">H15-H20</f>
        <v>24.4322542738051</v>
      </c>
      <c r="I21" s="31" t="n">
        <f aca="false">I15-I20</f>
        <v>26.0605862082759</v>
      </c>
      <c r="J21" s="31" t="n">
        <f aca="false">J15-J20</f>
        <v>29.1058555379957</v>
      </c>
      <c r="K21" s="31" t="n">
        <f aca="false">K15-K20</f>
        <v>30.4540425466413</v>
      </c>
      <c r="L21" s="31" t="n">
        <f aca="false">L15-L20</f>
        <v>33.2951391815815</v>
      </c>
      <c r="M21" s="31" t="n">
        <f aca="false">M15-M20</f>
        <v>34.4945024589669</v>
      </c>
      <c r="O21" s="31" t="n">
        <f aca="false">SUM(B21:E21)</f>
        <v>34.4615858348628</v>
      </c>
      <c r="P21" s="31" t="n">
        <f aca="false">SUM(F21:I21)</f>
        <v>90.3414312858573</v>
      </c>
      <c r="Q21" s="31" t="n">
        <f aca="false">SUM(J21:M21)</f>
        <v>127.349539725185</v>
      </c>
    </row>
  </sheetData>
  <mergeCells count="6">
    <mergeCell ref="A1:M1"/>
    <mergeCell ref="A2:M2"/>
    <mergeCell ref="B3:E3"/>
    <mergeCell ref="F3:I3"/>
    <mergeCell ref="J3:M3"/>
    <mergeCell ref="A19:M1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D9432E"/>
    <pageSetUpPr fitToPage="false"/>
  </sheetPr>
  <dimension ref="A1:E2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6"/>
    <col collapsed="false" customWidth="true" hidden="false" outlineLevel="0" max="5" min="2" style="1" width="16"/>
    <col collapsed="false" customWidth="true" hidden="false" outlineLevel="0" max="6" min="6" style="1" width="4"/>
    <col collapsed="false" customWidth="true" hidden="false" outlineLevel="0" max="7" min="7" style="1" width="40"/>
  </cols>
  <sheetData>
    <row r="1" customFormat="false" ht="24" hidden="false" customHeight="true" outlineLevel="0" collapsed="false">
      <c r="A1" s="10" t="s">
        <v>138</v>
      </c>
      <c r="B1" s="10"/>
      <c r="C1" s="10"/>
      <c r="D1" s="10"/>
      <c r="E1" s="10"/>
    </row>
    <row r="2" customFormat="false" ht="15" hidden="false" customHeight="true" outlineLevel="0" collapsed="false">
      <c r="A2" s="4" t="s">
        <v>139</v>
      </c>
      <c r="B2" s="4"/>
      <c r="C2" s="4"/>
      <c r="D2" s="4"/>
      <c r="E2" s="4"/>
    </row>
    <row r="3" customFormat="false" ht="6" hidden="false" customHeight="true" outlineLevel="0" collapsed="false"/>
    <row r="4" customFormat="false" ht="18" hidden="false" customHeight="true" outlineLevel="0" collapsed="false">
      <c r="A4" s="7" t="s">
        <v>140</v>
      </c>
      <c r="B4" s="7"/>
      <c r="C4" s="7"/>
      <c r="D4" s="7"/>
      <c r="E4" s="7"/>
    </row>
    <row r="5" customFormat="false" ht="15" hidden="false" customHeight="true" outlineLevel="0" collapsed="false">
      <c r="A5" s="29" t="s">
        <v>45</v>
      </c>
      <c r="B5" s="14" t="s">
        <v>122</v>
      </c>
      <c r="C5" s="14" t="s">
        <v>61</v>
      </c>
      <c r="D5" s="14" t="s">
        <v>62</v>
      </c>
      <c r="E5" s="14" t="s">
        <v>141</v>
      </c>
    </row>
    <row r="6" customFormat="false" ht="15" hidden="false" customHeight="true" outlineLevel="0" collapsed="false">
      <c r="A6" s="11" t="s">
        <v>142</v>
      </c>
      <c r="B6" s="33" t="n">
        <f aca="false">PnL!O6</f>
        <v>1382.7988195719</v>
      </c>
      <c r="C6" s="33" t="n">
        <f aca="false">PnL!P6</f>
        <v>4468.45260715478</v>
      </c>
      <c r="D6" s="33" t="n">
        <f aca="false">PnL!Q6</f>
        <v>6696.46164376546</v>
      </c>
    </row>
    <row r="7" customFormat="false" ht="15" hidden="false" customHeight="true" outlineLevel="0" collapsed="false">
      <c r="A7" s="11" t="s">
        <v>143</v>
      </c>
      <c r="B7" s="33" t="n">
        <f aca="false">PnL!O15</f>
        <v>104.619457321503</v>
      </c>
      <c r="C7" s="33" t="n">
        <f aca="false">PnL!P15</f>
        <v>815.637923045614</v>
      </c>
      <c r="D7" s="33" t="n">
        <f aca="false">PnL!Q15</f>
        <v>1289.06061591543</v>
      </c>
    </row>
    <row r="8" customFormat="false" ht="15" hidden="false" customHeight="true" outlineLevel="0" collapsed="false">
      <c r="A8" s="11" t="s">
        <v>144</v>
      </c>
      <c r="B8" s="23" t="n">
        <f aca="false">MAX(0,B7)*Assumptions!$B$12</f>
        <v>26.1548643303757</v>
      </c>
      <c r="C8" s="23" t="n">
        <f aca="false">MAX(0,C7)*Assumptions!$B$12</f>
        <v>203.909480761403</v>
      </c>
      <c r="D8" s="23" t="n">
        <f aca="false">MAX(0,D7)*Assumptions!$B$12</f>
        <v>322.265153978858</v>
      </c>
    </row>
    <row r="9" customFormat="false" ht="15" hidden="false" customHeight="true" outlineLevel="0" collapsed="false">
      <c r="A9" s="11" t="s">
        <v>145</v>
      </c>
      <c r="B9" s="23" t="n">
        <f aca="false">B6*Assumptions!$B$13</f>
        <v>27.655976391438</v>
      </c>
      <c r="C9" s="23" t="n">
        <f aca="false">C6*Assumptions!$B$13</f>
        <v>89.3690521430955</v>
      </c>
      <c r="D9" s="23" t="n">
        <f aca="false">D6*Assumptions!$B$13</f>
        <v>133.929232875309</v>
      </c>
    </row>
    <row r="10" customFormat="false" ht="15" hidden="false" customHeight="true" outlineLevel="0" collapsed="false">
      <c r="A10" s="8" t="s">
        <v>146</v>
      </c>
      <c r="B10" s="31" t="n">
        <f aca="false">B7-B8-B9</f>
        <v>50.8086165996891</v>
      </c>
      <c r="C10" s="31" t="n">
        <f aca="false">C7-C8-C9</f>
        <v>522.359390141115</v>
      </c>
      <c r="D10" s="31" t="n">
        <f aca="false">D7-D8-D9</f>
        <v>832.866229061265</v>
      </c>
    </row>
    <row r="11" customFormat="false" ht="15" hidden="false" customHeight="true" outlineLevel="0" collapsed="false">
      <c r="A11" s="11" t="s">
        <v>147</v>
      </c>
      <c r="E11" s="23" t="n">
        <f aca="false">D10*(1+Assumptions!$B$11)/(Assumptions!$B$10-Assumptions!$B$11)</f>
        <v>9716.77267238142</v>
      </c>
    </row>
    <row r="13" customFormat="false" ht="18" hidden="false" customHeight="true" outlineLevel="0" collapsed="false">
      <c r="A13" s="7" t="s">
        <v>148</v>
      </c>
      <c r="B13" s="7"/>
      <c r="C13" s="7"/>
      <c r="D13" s="7"/>
      <c r="E13" s="7"/>
    </row>
    <row r="14" customFormat="false" ht="26.25" hidden="false" customHeight="true" outlineLevel="0" collapsed="false">
      <c r="A14" s="14" t="s">
        <v>45</v>
      </c>
      <c r="B14" s="14" t="s">
        <v>122</v>
      </c>
      <c r="C14" s="14" t="s">
        <v>61</v>
      </c>
      <c r="D14" s="14" t="s">
        <v>62</v>
      </c>
      <c r="E14" s="14" t="s">
        <v>149</v>
      </c>
    </row>
    <row r="15" customFormat="false" ht="15" hidden="false" customHeight="true" outlineLevel="0" collapsed="false">
      <c r="A15" s="11" t="s">
        <v>150</v>
      </c>
      <c r="B15" s="24" t="n">
        <f aca="false">1/(1+Assumptions!$B$10)^1</f>
        <v>0.87719298245614</v>
      </c>
      <c r="C15" s="24" t="n">
        <f aca="false">1/(1+Assumptions!$B$10)^2</f>
        <v>0.769467528470298</v>
      </c>
      <c r="D15" s="24" t="n">
        <f aca="false">1/(1+Assumptions!$B$10)^3</f>
        <v>0.674971516202016</v>
      </c>
      <c r="E15" s="24" t="n">
        <f aca="false">1/(1+Assumptions!$B$10)^3</f>
        <v>0.674971516202016</v>
      </c>
    </row>
    <row r="16" customFormat="false" ht="15" hidden="false" customHeight="true" outlineLevel="0" collapsed="false">
      <c r="A16" s="11" t="s">
        <v>151</v>
      </c>
      <c r="B16" s="23" t="n">
        <f aca="false">B10*B15</f>
        <v>44.5689619295518</v>
      </c>
      <c r="C16" s="23" t="n">
        <f aca="false">C10*C15</f>
        <v>401.938588905136</v>
      </c>
      <c r="D16" s="23" t="n">
        <f aca="false">D10*D15</f>
        <v>562.160981422937</v>
      </c>
      <c r="E16" s="23" t="n">
        <f aca="false">E11*E15</f>
        <v>6558.5447832676</v>
      </c>
    </row>
    <row r="17" customFormat="false" ht="15" hidden="false" customHeight="true" outlineLevel="0" collapsed="false">
      <c r="A17" s="8" t="s">
        <v>152</v>
      </c>
      <c r="B17" s="31" t="n">
        <f aca="false">SUM(B16:D16)+E16</f>
        <v>7567.21331552523</v>
      </c>
    </row>
    <row r="18" customFormat="false" ht="15" hidden="false" customHeight="true" outlineLevel="0" collapsed="false">
      <c r="A18" s="11" t="s">
        <v>153</v>
      </c>
      <c r="B18" s="23" t="n">
        <f aca="false">B17/100</f>
        <v>75.6721331552523</v>
      </c>
    </row>
    <row r="20" customFormat="false" ht="18" hidden="false" customHeight="true" outlineLevel="0" collapsed="false">
      <c r="A20" s="7" t="s">
        <v>154</v>
      </c>
      <c r="B20" s="7"/>
      <c r="C20" s="7"/>
      <c r="D20" s="7"/>
      <c r="E20" s="7"/>
    </row>
    <row r="21" customFormat="false" ht="15" hidden="false" customHeight="true" outlineLevel="0" collapsed="false">
      <c r="A21" s="11" t="s">
        <v>155</v>
      </c>
      <c r="B21" s="23" t="n">
        <f aca="false">-MIN(PnL!B17:M17,0)</f>
        <v>41.2816332</v>
      </c>
    </row>
    <row r="22" customFormat="false" ht="15" hidden="false" customHeight="true" outlineLevel="0" collapsed="false">
      <c r="A22" s="11" t="s">
        <v>156</v>
      </c>
      <c r="B22" s="28" t="n">
        <f aca="false">COUNTIF(PnL!B17:M17,"&lt;0")+1</f>
        <v>3</v>
      </c>
    </row>
    <row r="23" customFormat="false" ht="15" hidden="false" customHeight="true" outlineLevel="0" collapsed="false">
      <c r="A23" s="11" t="s">
        <v>157</v>
      </c>
      <c r="B23" s="23" t="n">
        <f aca="false">-B21</f>
        <v>-41.2816332</v>
      </c>
    </row>
    <row r="24" customFormat="false" ht="15" hidden="false" customHeight="true" outlineLevel="0" collapsed="false">
      <c r="A24" s="11" t="s">
        <v>158</v>
      </c>
      <c r="B24" s="23" t="n">
        <f aca="false">B10</f>
        <v>50.8086165996891</v>
      </c>
      <c r="C24" s="23" t="n">
        <f aca="false">C10</f>
        <v>522.359390141115</v>
      </c>
      <c r="D24" s="23" t="n">
        <f aca="false">D10+E11</f>
        <v>10549.6389014427</v>
      </c>
    </row>
    <row r="25" customFormat="false" ht="15" hidden="false" customHeight="true" outlineLevel="0" collapsed="false">
      <c r="A25" s="8" t="s">
        <v>159</v>
      </c>
      <c r="B25" s="34" t="n">
        <f aca="false">IRR(B23:D24)</f>
        <v>6.48405553644068</v>
      </c>
    </row>
    <row r="26" customFormat="false" ht="15" hidden="false" customHeight="true" outlineLevel="0" collapsed="false">
      <c r="A26" s="9" t="s">
        <v>160</v>
      </c>
    </row>
  </sheetData>
  <mergeCells count="5">
    <mergeCell ref="A1:E1"/>
    <mergeCell ref="A2:E2"/>
    <mergeCell ref="A4:E4"/>
    <mergeCell ref="A13:E13"/>
    <mergeCell ref="A20:E2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2A44"/>
    <pageSetUpPr fitToPage="false"/>
  </sheetPr>
  <dimension ref="A1:L2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0"/>
    <col collapsed="false" customWidth="true" hidden="false" outlineLevel="0" max="6" min="2" style="1" width="14"/>
    <col collapsed="false" customWidth="true" hidden="false" outlineLevel="0" max="7" min="7" style="1" width="6"/>
    <col collapsed="false" customWidth="true" hidden="false" outlineLevel="0" max="12" min="8" style="1" width="14"/>
  </cols>
  <sheetData>
    <row r="1" customFormat="false" ht="24" hidden="false" customHeight="true" outlineLevel="0" collapsed="false">
      <c r="A1" s="10" t="s">
        <v>161</v>
      </c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</row>
    <row r="2" customFormat="false" ht="15" hidden="false" customHeight="true" outlineLevel="0" collapsed="false">
      <c r="A2" s="4" t="s">
        <v>162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</row>
    <row r="3" customFormat="false" ht="6" hidden="false" customHeight="true" outlineLevel="0" collapsed="false"/>
    <row r="4" customFormat="false" ht="18" hidden="false" customHeight="true" outlineLevel="0" collapsed="false">
      <c r="A4" s="7" t="s">
        <v>163</v>
      </c>
      <c r="B4" s="7"/>
      <c r="C4" s="7"/>
      <c r="D4" s="7"/>
      <c r="E4" s="7"/>
      <c r="F4" s="7"/>
    </row>
    <row r="5" customFormat="false" ht="15" hidden="false" customHeight="true" outlineLevel="0" collapsed="false">
      <c r="A5" s="8" t="s">
        <v>164</v>
      </c>
      <c r="B5" s="13" t="n">
        <v>0.8</v>
      </c>
      <c r="C5" s="13" t="n">
        <v>0.85</v>
      </c>
      <c r="D5" s="13" t="n">
        <v>0.9</v>
      </c>
      <c r="E5" s="13" t="n">
        <v>0.93</v>
      </c>
      <c r="F5" s="13" t="n">
        <v>0.95</v>
      </c>
    </row>
    <row r="6" customFormat="false" ht="15" hidden="false" customHeight="true" outlineLevel="0" collapsed="false">
      <c r="A6" s="8" t="s">
        <v>165</v>
      </c>
    </row>
    <row r="7" customFormat="false" ht="15" hidden="false" customHeight="true" outlineLevel="0" collapsed="false">
      <c r="A7" s="12" t="n">
        <v>250</v>
      </c>
      <c r="B7" s="35" t="n">
        <f aca="false">(Assumptions!$B$17*Assumptions!$B$20)/(1-B$5/(1+LTV_Model!$S$1))/A7</f>
        <v>5.06019280032634</v>
      </c>
      <c r="C7" s="35" t="n">
        <f aca="false">(Assumptions!$B$17*Assumptions!$B$20)/(1-C$5/(1+LTV_Model!$S$1))/A7</f>
        <v>6.63188769658903</v>
      </c>
      <c r="D7" s="35" t="n">
        <f aca="false">(Assumptions!$B$17*Assumptions!$B$20)/(1-D$5/(1+LTV_Model!$S$1))/A7</f>
        <v>9.61979376159617</v>
      </c>
      <c r="E7" s="35" t="n">
        <f aca="false">(Assumptions!$B$17*Assumptions!$B$20)/(1-E$5/(1+LTV_Model!$S$1))/A7</f>
        <v>13.1836108063903</v>
      </c>
      <c r="F7" s="35" t="n">
        <f aca="false">(Assumptions!$B$17*Assumptions!$B$20)/(1-F$5/(1+LTV_Model!$S$1))/A7</f>
        <v>17.5076052355286</v>
      </c>
    </row>
    <row r="8" customFormat="false" ht="15" hidden="false" customHeight="true" outlineLevel="0" collapsed="false">
      <c r="A8" s="12" t="n">
        <v>300</v>
      </c>
      <c r="B8" s="35" t="n">
        <f aca="false">(Assumptions!$B$17*Assumptions!$B$20)/(1-B$5/(1+LTV_Model!$S$1))/A8</f>
        <v>4.21682733360528</v>
      </c>
      <c r="C8" s="35" t="n">
        <f aca="false">(Assumptions!$B$17*Assumptions!$B$20)/(1-C$5/(1+LTV_Model!$S$1))/A8</f>
        <v>5.52657308049086</v>
      </c>
      <c r="D8" s="35" t="n">
        <f aca="false">(Assumptions!$B$17*Assumptions!$B$20)/(1-D$5/(1+LTV_Model!$S$1))/A8</f>
        <v>8.01649480133014</v>
      </c>
      <c r="E8" s="35" t="n">
        <f aca="false">(Assumptions!$B$17*Assumptions!$B$20)/(1-E$5/(1+LTV_Model!$S$1))/A8</f>
        <v>10.9863423386586</v>
      </c>
      <c r="F8" s="35" t="n">
        <f aca="false">(Assumptions!$B$17*Assumptions!$B$20)/(1-F$5/(1+LTV_Model!$S$1))/A8</f>
        <v>14.5896710296072</v>
      </c>
    </row>
    <row r="9" customFormat="false" ht="15" hidden="false" customHeight="true" outlineLevel="0" collapsed="false">
      <c r="A9" s="12" t="n">
        <v>350</v>
      </c>
      <c r="B9" s="35" t="n">
        <f aca="false">(Assumptions!$B$17*Assumptions!$B$20)/(1-B$5/(1+LTV_Model!$S$1))/A9</f>
        <v>3.61442342880452</v>
      </c>
      <c r="C9" s="35" t="n">
        <f aca="false">(Assumptions!$B$17*Assumptions!$B$20)/(1-C$5/(1+LTV_Model!$S$1))/A9</f>
        <v>4.73706264042074</v>
      </c>
      <c r="D9" s="35" t="n">
        <f aca="false">(Assumptions!$B$17*Assumptions!$B$20)/(1-D$5/(1+LTV_Model!$S$1))/A9</f>
        <v>6.87128125828298</v>
      </c>
      <c r="E9" s="35" t="n">
        <f aca="false">(Assumptions!$B$17*Assumptions!$B$20)/(1-E$5/(1+LTV_Model!$S$1))/A9</f>
        <v>9.41686486170734</v>
      </c>
      <c r="F9" s="35" t="n">
        <f aca="false">(Assumptions!$B$17*Assumptions!$B$20)/(1-F$5/(1+LTV_Model!$S$1))/A9</f>
        <v>12.5054323110919</v>
      </c>
    </row>
    <row r="10" customFormat="false" ht="15" hidden="false" customHeight="true" outlineLevel="0" collapsed="false">
      <c r="A10" s="12" t="n">
        <v>400</v>
      </c>
      <c r="B10" s="35" t="n">
        <f aca="false">(Assumptions!$B$17*Assumptions!$B$20)/(1-B$5/(1+LTV_Model!$S$1))/A10</f>
        <v>3.16262050020396</v>
      </c>
      <c r="C10" s="35" t="n">
        <f aca="false">(Assumptions!$B$17*Assumptions!$B$20)/(1-C$5/(1+LTV_Model!$S$1))/A10</f>
        <v>4.14492981036815</v>
      </c>
      <c r="D10" s="35" t="n">
        <f aca="false">(Assumptions!$B$17*Assumptions!$B$20)/(1-D$5/(1+LTV_Model!$S$1))/A10</f>
        <v>6.01237110099761</v>
      </c>
      <c r="E10" s="35" t="n">
        <f aca="false">(Assumptions!$B$17*Assumptions!$B$20)/(1-E$5/(1+LTV_Model!$S$1))/A10</f>
        <v>8.23975675399392</v>
      </c>
      <c r="F10" s="35" t="n">
        <f aca="false">(Assumptions!$B$17*Assumptions!$B$20)/(1-F$5/(1+LTV_Model!$S$1))/A10</f>
        <v>10.9422532722054</v>
      </c>
    </row>
    <row r="11" customFormat="false" ht="15" hidden="false" customHeight="true" outlineLevel="0" collapsed="false">
      <c r="A11" s="12" t="n">
        <v>450</v>
      </c>
      <c r="B11" s="35" t="n">
        <f aca="false">(Assumptions!$B$17*Assumptions!$B$20)/(1-B$5/(1+LTV_Model!$S$1))/A11</f>
        <v>2.81121822240352</v>
      </c>
      <c r="C11" s="35" t="n">
        <f aca="false">(Assumptions!$B$17*Assumptions!$B$20)/(1-C$5/(1+LTV_Model!$S$1))/A11</f>
        <v>3.68438205366057</v>
      </c>
      <c r="D11" s="35" t="n">
        <f aca="false">(Assumptions!$B$17*Assumptions!$B$20)/(1-D$5/(1+LTV_Model!$S$1))/A11</f>
        <v>5.34432986755343</v>
      </c>
      <c r="E11" s="35" t="n">
        <f aca="false">(Assumptions!$B$17*Assumptions!$B$20)/(1-E$5/(1+LTV_Model!$S$1))/A11</f>
        <v>7.32422822577237</v>
      </c>
      <c r="F11" s="35" t="n">
        <f aca="false">(Assumptions!$B$17*Assumptions!$B$20)/(1-F$5/(1+LTV_Model!$S$1))/A11</f>
        <v>9.72644735307147</v>
      </c>
    </row>
    <row r="13" customFormat="false" ht="15" hidden="false" customHeight="true" outlineLevel="0" collapsed="false">
      <c r="A13" s="9" t="s">
        <v>166</v>
      </c>
    </row>
    <row r="15" customFormat="false" ht="18" hidden="false" customHeight="true" outlineLevel="0" collapsed="false">
      <c r="A15" s="7" t="s">
        <v>167</v>
      </c>
      <c r="B15" s="7"/>
      <c r="C15" s="7"/>
      <c r="D15" s="7"/>
      <c r="E15" s="7"/>
      <c r="F15" s="7"/>
    </row>
    <row r="16" customFormat="false" ht="15" hidden="false" customHeight="true" outlineLevel="0" collapsed="false">
      <c r="A16" s="8" t="s">
        <v>168</v>
      </c>
      <c r="B16" s="13" t="n">
        <v>0.03</v>
      </c>
      <c r="C16" s="13" t="n">
        <v>0.04</v>
      </c>
      <c r="D16" s="13" t="n">
        <v>0.05</v>
      </c>
      <c r="E16" s="13" t="n">
        <v>0.06</v>
      </c>
      <c r="F16" s="13" t="n">
        <v>0.07</v>
      </c>
    </row>
    <row r="17" customFormat="false" ht="15" hidden="false" customHeight="true" outlineLevel="0" collapsed="false">
      <c r="A17" s="13" t="n">
        <v>0.1</v>
      </c>
      <c r="B17" s="23" t="n">
        <f aca="false">DCF_Valuation!$B$10/(1+$A17)+DCF_Valuation!$C$10/(1+$A17)^2+DCF_Valuation!$D$10/(1+$A17)^3+(DCF_Valuation!$D$10*(1+B$16)/($A17-B$16))/(1+$A17)^3</f>
        <v>10311.0230206531</v>
      </c>
      <c r="C17" s="23" t="n">
        <f aca="false">DCF_Valuation!$B$10/(1+$A17)+DCF_Valuation!$C$10/(1+$A17)^2+DCF_Valuation!$D$10/(1+$A17)^3+(DCF_Valuation!$D$10*(1+C$16)/($A17-C$16))/(1+$A17)^3</f>
        <v>11949.8782529657</v>
      </c>
      <c r="D17" s="23" t="n">
        <f aca="false">DCF_Valuation!$B$10/(1+$A17)+DCF_Valuation!$C$10/(1+$A17)^2+DCF_Valuation!$D$10/(1+$A17)^3+(DCF_Valuation!$D$10*(1+D$16)/($A17-D$16))/(1+$A17)^3</f>
        <v>14244.2755782034</v>
      </c>
      <c r="E17" s="23" t="n">
        <f aca="false">DCF_Valuation!$B$10/(1+$A17)+DCF_Valuation!$C$10/(1+$A17)^2+DCF_Valuation!$D$10/(1+$A17)^3+(DCF_Valuation!$D$10*(1+E$16)/($A17-E$16))/(1+$A17)^3</f>
        <v>17685.8715660598</v>
      </c>
      <c r="F17" s="23" t="n">
        <f aca="false">DCF_Valuation!$B$10/(1+$A17)+DCF_Valuation!$C$10/(1+$A17)^2+DCF_Valuation!$D$10/(1+$A17)^3+(DCF_Valuation!$D$10*(1+F$16)/($A17-F$16))/(1+$A17)^3</f>
        <v>23421.8648791539</v>
      </c>
    </row>
    <row r="18" customFormat="false" ht="15" hidden="false" customHeight="true" outlineLevel="0" collapsed="false">
      <c r="A18" s="13" t="n">
        <v>0.12</v>
      </c>
      <c r="B18" s="23" t="n">
        <f aca="false">DCF_Valuation!$B$10/(1+$A18)+DCF_Valuation!$C$10/(1+$A18)^2+DCF_Valuation!$D$10/(1+$A18)^3+(DCF_Valuation!$D$10*(1+B$16)/($A18-B$16))/(1+$A18)^3</f>
        <v>7839.07386202535</v>
      </c>
      <c r="C18" s="23" t="n">
        <f aca="false">DCF_Valuation!$B$10/(1+$A18)+DCF_Valuation!$C$10/(1+$A18)^2+DCF_Valuation!$D$10/(1+$A18)^3+(DCF_Valuation!$D$10*(1+C$16)/($A18-C$16))/(1+$A18)^3</f>
        <v>8761.23477678458</v>
      </c>
      <c r="D18" s="23" t="n">
        <f aca="false">DCF_Valuation!$B$10/(1+$A18)+DCF_Valuation!$C$10/(1+$A18)^2+DCF_Valuation!$D$10/(1+$A18)^3+(DCF_Valuation!$D$10*(1+D$16)/($A18-D$16))/(1+$A18)^3</f>
        <v>9946.87023861787</v>
      </c>
      <c r="E18" s="23" t="n">
        <f aca="false">DCF_Valuation!$B$10/(1+$A18)+DCF_Valuation!$C$10/(1+$A18)^2+DCF_Valuation!$D$10/(1+$A18)^3+(DCF_Valuation!$D$10*(1+E$16)/($A18-E$16))/(1+$A18)^3</f>
        <v>11527.7175210623</v>
      </c>
      <c r="F18" s="23" t="n">
        <f aca="false">DCF_Valuation!$B$10/(1+$A18)+DCF_Valuation!$C$10/(1+$A18)^2+DCF_Valuation!$D$10/(1+$A18)^3+(DCF_Valuation!$D$10*(1+F$16)/($A18-F$16))/(1+$A18)^3</f>
        <v>13740.9037164844</v>
      </c>
    </row>
    <row r="19" customFormat="false" ht="15" hidden="false" customHeight="true" outlineLevel="0" collapsed="false">
      <c r="A19" s="13" t="n">
        <v>0.14</v>
      </c>
      <c r="B19" s="23" t="n">
        <f aca="false">DCF_Valuation!$B$10/(1+$A19)+DCF_Valuation!$C$10/(1+$A19)^2+DCF_Valuation!$D$10/(1+$A19)^3+(DCF_Valuation!$D$10*(1+B$16)/($A19-B$16))/(1+$A19)^3</f>
        <v>6272.53954012695</v>
      </c>
      <c r="C19" s="23" t="n">
        <f aca="false">DCF_Valuation!$B$10/(1+$A19)+DCF_Valuation!$C$10/(1+$A19)^2+DCF_Valuation!$D$10/(1+$A19)^3+(DCF_Valuation!$D$10*(1+C$16)/($A19-C$16))/(1+$A19)^3</f>
        <v>6855.14273905618</v>
      </c>
      <c r="D19" s="23" t="n">
        <f aca="false">DCF_Valuation!$B$10/(1+$A19)+DCF_Valuation!$C$10/(1+$A19)^2+DCF_Valuation!$D$10/(1+$A19)^3+(DCF_Valuation!$D$10*(1+D$16)/($A19-D$16))/(1+$A19)^3</f>
        <v>7567.21331552523</v>
      </c>
      <c r="E19" s="23" t="n">
        <f aca="false">DCF_Valuation!$B$10/(1+$A19)+DCF_Valuation!$C$10/(1+$A19)^2+DCF_Valuation!$D$10/(1+$A19)^3+(DCF_Valuation!$D$10*(1+E$16)/($A19-E$16))/(1+$A19)^3</f>
        <v>8457.30153611155</v>
      </c>
      <c r="F19" s="23" t="n">
        <f aca="false">DCF_Valuation!$B$10/(1+$A19)+DCF_Valuation!$C$10/(1+$A19)^2+DCF_Valuation!$D$10/(1+$A19)^3+(DCF_Valuation!$D$10*(1+F$16)/($A19-F$16))/(1+$A19)^3</f>
        <v>9601.70067686538</v>
      </c>
    </row>
    <row r="20" customFormat="false" ht="15" hidden="false" customHeight="true" outlineLevel="0" collapsed="false">
      <c r="A20" s="13" t="n">
        <v>0.16</v>
      </c>
      <c r="B20" s="23" t="n">
        <f aca="false">DCF_Valuation!$B$10/(1+$A20)+DCF_Valuation!$C$10/(1+$A20)^2+DCF_Valuation!$D$10/(1+$A20)^3+(DCF_Valuation!$D$10*(1+B$16)/($A20-B$16))/(1+$A20)^3</f>
        <v>5193.19313753569</v>
      </c>
      <c r="C20" s="23" t="n">
        <f aca="false">DCF_Valuation!$B$10/(1+$A20)+DCF_Valuation!$C$10/(1+$A20)^2+DCF_Valuation!$D$10/(1+$A20)^3+(DCF_Valuation!$D$10*(1+C$16)/($A20-C$16))/(1+$A20)^3</f>
        <v>5589.95934470915</v>
      </c>
      <c r="D20" s="23" t="n">
        <f aca="false">DCF_Valuation!$B$10/(1+$A20)+DCF_Valuation!$C$10/(1+$A20)^2+DCF_Valuation!$D$10/(1+$A20)^3+(DCF_Valuation!$D$10*(1+D$16)/($A20-D$16))/(1+$A20)^3</f>
        <v>6058.86486227778</v>
      </c>
      <c r="E20" s="23" t="n">
        <f aca="false">DCF_Valuation!$B$10/(1+$A20)+DCF_Valuation!$C$10/(1+$A20)^2+DCF_Valuation!$D$10/(1+$A20)^3+(DCF_Valuation!$D$10*(1+E$16)/($A20-E$16))/(1+$A20)^3</f>
        <v>6621.55148336014</v>
      </c>
      <c r="F20" s="23" t="n">
        <f aca="false">DCF_Valuation!$B$10/(1+$A20)+DCF_Valuation!$C$10/(1+$A20)^2+DCF_Valuation!$D$10/(1+$A20)^3+(DCF_Valuation!$D$10*(1+F$16)/($A20-F$16))/(1+$A20)^3</f>
        <v>7309.27957579413</v>
      </c>
    </row>
    <row r="21" customFormat="false" ht="15" hidden="false" customHeight="true" outlineLevel="0" collapsed="false">
      <c r="A21" s="13" t="n">
        <v>0.18</v>
      </c>
      <c r="B21" s="23" t="n">
        <f aca="false">DCF_Valuation!$B$10/(1+$A21)+DCF_Valuation!$C$10/(1+$A21)^2+DCF_Valuation!$D$10/(1+$A21)^3+(DCF_Valuation!$D$10*(1+B$16)/($A21-B$16))/(1+$A21)^3</f>
        <v>4405.8855823067</v>
      </c>
      <c r="C21" s="23" t="n">
        <f aca="false">DCF_Valuation!$B$10/(1+$A21)+DCF_Valuation!$C$10/(1+$A21)^2+DCF_Valuation!$D$10/(1+$A21)^3+(DCF_Valuation!$D$10*(1+C$16)/($A21-C$16))/(1+$A21)^3</f>
        <v>4690.7196574429</v>
      </c>
      <c r="D21" s="23" t="n">
        <f aca="false">DCF_Valuation!$B$10/(1+$A21)+DCF_Valuation!$C$10/(1+$A21)^2+DCF_Valuation!$D$10/(1+$A21)^3+(DCF_Valuation!$D$10*(1+D$16)/($A21-D$16))/(1+$A21)^3</f>
        <v>5019.37435952314</v>
      </c>
      <c r="E21" s="23" t="n">
        <f aca="false">DCF_Valuation!$B$10/(1+$A21)+DCF_Valuation!$C$10/(1+$A21)^2+DCF_Valuation!$D$10/(1+$A21)^3+(DCF_Valuation!$D$10*(1+E$16)/($A21-E$16))/(1+$A21)^3</f>
        <v>5402.80484528341</v>
      </c>
      <c r="F21" s="23" t="n">
        <f aca="false">DCF_Valuation!$B$10/(1+$A21)+DCF_Valuation!$C$10/(1+$A21)^2+DCF_Valuation!$D$10/(1+$A21)^3+(DCF_Valuation!$D$10*(1+F$16)/($A21-F$16))/(1+$A21)^3</f>
        <v>5855.94996481828</v>
      </c>
    </row>
    <row r="23" customFormat="false" ht="15" hidden="false" customHeight="true" outlineLevel="0" collapsed="false">
      <c r="A23" s="9" t="s">
        <v>169</v>
      </c>
    </row>
    <row r="25" customFormat="false" ht="18" hidden="false" customHeight="true" outlineLevel="0" collapsed="false">
      <c r="A25" s="7" t="s">
        <v>170</v>
      </c>
      <c r="B25" s="7"/>
      <c r="C25" s="7"/>
      <c r="D25" s="7"/>
      <c r="E25" s="7"/>
      <c r="F25" s="7"/>
    </row>
    <row r="26" customFormat="false" ht="15" hidden="false" customHeight="true" outlineLevel="0" collapsed="false">
      <c r="A26" s="11" t="s">
        <v>171</v>
      </c>
      <c r="B26" s="13" t="n">
        <v>0</v>
      </c>
      <c r="C26" s="13" t="n">
        <v>0.06</v>
      </c>
      <c r="D26" s="13" t="n">
        <v>0.12</v>
      </c>
      <c r="E26" s="13" t="n">
        <v>0.18</v>
      </c>
      <c r="F26" s="13" t="n">
        <v>0.24</v>
      </c>
    </row>
    <row r="27" customFormat="false" ht="15" hidden="false" customHeight="true" outlineLevel="0" collapsed="false">
      <c r="A27" s="11" t="s">
        <v>172</v>
      </c>
      <c r="B27" s="23" t="n">
        <f aca="false">PnL!$O$15+PnL!$P$15+PnL!$Q$15+(B26-Assumptions!$B$37)*(Volume_Build!$B$40+Volume_Build!$C$40+Volume_Build!$D$40+Volume_Build!$E$40+Volume_Build!$F$40+Volume_Build!$G$40+Volume_Build!$H$40+Volume_Build!$I$40+Volume_Build!$J$40+Volume_Build!$K$40+Volume_Build!$L$40+Volume_Build!$M$40)</f>
        <v>2107.73799628255</v>
      </c>
      <c r="C27" s="23" t="n">
        <f aca="false">PnL!$O$15+PnL!$P$15+PnL!$Q$15+(C26-Assumptions!$B$37)*(Volume_Build!$B$40+Volume_Build!$C$40+Volume_Build!$D$40+Volume_Build!$E$40+Volume_Build!$F$40+Volume_Build!$G$40+Volume_Build!$H$40+Volume_Build!$I$40+Volume_Build!$J$40+Volume_Build!$K$40+Volume_Build!$L$40+Volume_Build!$M$40)</f>
        <v>2158.52799628255</v>
      </c>
      <c r="D27" s="23" t="n">
        <f aca="false">PnL!$O$15+PnL!$P$15+PnL!$Q$15+(D26-Assumptions!$B$37)*(Volume_Build!$B$40+Volume_Build!$C$40+Volume_Build!$D$40+Volume_Build!$E$40+Volume_Build!$F$40+Volume_Build!$G$40+Volume_Build!$H$40+Volume_Build!$I$40+Volume_Build!$J$40+Volume_Build!$K$40+Volume_Build!$L$40+Volume_Build!$M$40)</f>
        <v>2209.31799628255</v>
      </c>
      <c r="E27" s="23" t="n">
        <f aca="false">PnL!$O$15+PnL!$P$15+PnL!$Q$15+(E26-Assumptions!$B$37)*(Volume_Build!$B$40+Volume_Build!$C$40+Volume_Build!$D$40+Volume_Build!$E$40+Volume_Build!$F$40+Volume_Build!$G$40+Volume_Build!$H$40+Volume_Build!$I$40+Volume_Build!$J$40+Volume_Build!$K$40+Volume_Build!$L$40+Volume_Build!$M$40)</f>
        <v>2260.10799628255</v>
      </c>
      <c r="F27" s="23" t="n">
        <f aca="false">PnL!$O$15+PnL!$P$15+PnL!$Q$15+(F26-Assumptions!$B$37)*(Volume_Build!$B$40+Volume_Build!$C$40+Volume_Build!$D$40+Volume_Build!$E$40+Volume_Build!$F$40+Volume_Build!$G$40+Volume_Build!$H$40+Volume_Build!$I$40+Volume_Build!$J$40+Volume_Build!$K$40+Volume_Build!$L$40+Volume_Build!$M$40)</f>
        <v>2310.89799628255</v>
      </c>
    </row>
    <row r="29" customFormat="false" ht="15" hidden="false" customHeight="true" outlineLevel="0" collapsed="false">
      <c r="A29" s="9" t="s">
        <v>173</v>
      </c>
    </row>
  </sheetData>
  <mergeCells count="5">
    <mergeCell ref="A1:L1"/>
    <mergeCell ref="A2:L2"/>
    <mergeCell ref="A4:F4"/>
    <mergeCell ref="A15:F15"/>
    <mergeCell ref="A25:F2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D9432E"/>
    <pageSetUpPr fitToPage="false"/>
  </sheetPr>
  <dimension ref="A1:F3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4"/>
    <col collapsed="false" customWidth="true" hidden="false" outlineLevel="0" max="3" min="3" style="1" width="18"/>
    <col collapsed="false" customWidth="true" hidden="false" outlineLevel="0" max="4" min="4" style="1" width="4"/>
    <col collapsed="false" customWidth="true" hidden="false" outlineLevel="0" max="5" min="5" style="1" width="34"/>
    <col collapsed="false" customWidth="true" hidden="false" outlineLevel="0" max="6" min="6" style="1" width="18"/>
    <col collapsed="false" customWidth="true" hidden="false" outlineLevel="0" max="7" min="7" style="1" width="4"/>
  </cols>
  <sheetData>
    <row r="1" customFormat="false" ht="24" hidden="false" customHeight="true" outlineLevel="0" collapsed="false">
      <c r="A1" s="10" t="s">
        <v>174</v>
      </c>
      <c r="B1" s="10"/>
      <c r="C1" s="10"/>
      <c r="D1" s="10"/>
      <c r="E1" s="10"/>
      <c r="F1" s="10"/>
    </row>
    <row r="2" customFormat="false" ht="15" hidden="false" customHeight="true" outlineLevel="0" collapsed="false">
      <c r="A2" s="4" t="s">
        <v>175</v>
      </c>
      <c r="B2" s="4"/>
      <c r="C2" s="4"/>
      <c r="D2" s="4"/>
      <c r="E2" s="4"/>
      <c r="F2" s="4"/>
    </row>
    <row r="3" customFormat="false" ht="6" hidden="false" customHeight="true" outlineLevel="0" collapsed="false"/>
    <row r="4" customFormat="false" ht="18" hidden="false" customHeight="true" outlineLevel="0" collapsed="false">
      <c r="A4" s="7" t="s">
        <v>176</v>
      </c>
      <c r="B4" s="7"/>
      <c r="C4" s="7"/>
      <c r="D4" s="7"/>
      <c r="E4" s="7"/>
      <c r="F4" s="7"/>
    </row>
    <row r="5" customFormat="false" ht="15" hidden="false" customHeight="true" outlineLevel="0" collapsed="false">
      <c r="B5" s="11" t="s">
        <v>177</v>
      </c>
      <c r="C5" s="36" t="n">
        <f aca="false">(PnL!$O$6+PnL!$P$6+PnL!$Q$6)/100</f>
        <v>125.477130704921</v>
      </c>
      <c r="E5" s="11" t="s">
        <v>178</v>
      </c>
      <c r="F5" s="36" t="n">
        <f aca="false">DCF_Valuation!$B$18</f>
        <v>75.6721331552523</v>
      </c>
    </row>
    <row r="6" customFormat="false" ht="15" hidden="false" customHeight="true" outlineLevel="0" collapsed="false">
      <c r="B6" s="11" t="s">
        <v>179</v>
      </c>
      <c r="C6" s="36" t="n">
        <f aca="false">PnL!$M$17/100</f>
        <v>22.0931799628255</v>
      </c>
      <c r="E6" s="11" t="s">
        <v>180</v>
      </c>
      <c r="F6" s="37" t="n">
        <f aca="false">DCF_Valuation!$B$25</f>
        <v>6.48405553644068</v>
      </c>
    </row>
    <row r="7" customFormat="false" ht="15" hidden="false" customHeight="true" outlineLevel="0" collapsed="false">
      <c r="B7" s="11" t="s">
        <v>156</v>
      </c>
      <c r="C7" s="38" t="n">
        <f aca="false">DCF_Valuation!$B$22</f>
        <v>3</v>
      </c>
      <c r="E7" s="11" t="s">
        <v>181</v>
      </c>
      <c r="F7" s="39" t="n">
        <f aca="false">LTV_Model!$B$46</f>
        <v>6.76679636308429</v>
      </c>
    </row>
    <row r="8" customFormat="false" ht="15" hidden="false" customHeight="true" outlineLevel="0" collapsed="false">
      <c r="B8" s="11" t="s">
        <v>182</v>
      </c>
      <c r="C8" s="36" t="n">
        <f aca="false">DCF_Valuation!$B$21/100</f>
        <v>0.412816332</v>
      </c>
      <c r="E8" s="11" t="s">
        <v>183</v>
      </c>
      <c r="F8" s="39" t="n">
        <f aca="false">LTV_Model!$L$46</f>
        <v>0.194254109437271</v>
      </c>
    </row>
    <row r="10" customFormat="false" ht="18" hidden="false" customHeight="true" outlineLevel="0" collapsed="false">
      <c r="A10" s="7" t="s">
        <v>184</v>
      </c>
      <c r="B10" s="7"/>
      <c r="C10" s="7"/>
      <c r="D10" s="7"/>
      <c r="E10" s="7"/>
      <c r="F10" s="7"/>
    </row>
    <row r="11" customFormat="false" ht="51.75" hidden="false" customHeight="true" outlineLevel="0" collapsed="false">
      <c r="B11" s="14" t="s">
        <v>185</v>
      </c>
      <c r="C11" s="14" t="s">
        <v>186</v>
      </c>
      <c r="D11" s="14" t="s">
        <v>187</v>
      </c>
      <c r="E11" s="14" t="s">
        <v>188</v>
      </c>
      <c r="F11" s="14" t="s">
        <v>189</v>
      </c>
    </row>
    <row r="12" customFormat="false" ht="15" hidden="false" customHeight="true" outlineLevel="0" collapsed="false">
      <c r="B12" s="11" t="s">
        <v>75</v>
      </c>
      <c r="C12" s="16" t="n">
        <f aca="false">LTV_Model!B43</f>
        <v>2368.3787270795</v>
      </c>
      <c r="D12" s="16" t="n">
        <f aca="false">LTV_Model!B45</f>
        <v>350</v>
      </c>
      <c r="E12" s="35" t="n">
        <f aca="false">LTV_Model!B46</f>
        <v>6.76679636308429</v>
      </c>
      <c r="F12" s="28" t="n">
        <f aca="false">LTV_Model!B47</f>
        <v>0</v>
      </c>
    </row>
    <row r="13" customFormat="false" ht="15" hidden="false" customHeight="true" outlineLevel="0" collapsed="false">
      <c r="B13" s="11" t="s">
        <v>76</v>
      </c>
      <c r="C13" s="16" t="n">
        <f aca="false">LTV_Model!G43</f>
        <v>195.057066315033</v>
      </c>
      <c r="D13" s="16" t="n">
        <f aca="false">LTV_Model!G45</f>
        <v>150</v>
      </c>
      <c r="E13" s="35" t="n">
        <f aca="false">LTV_Model!G46</f>
        <v>1.30038044210022</v>
      </c>
      <c r="F13" s="28" t="n">
        <f aca="false">LTV_Model!G47</f>
        <v>2</v>
      </c>
    </row>
    <row r="14" customFormat="false" ht="15" hidden="false" customHeight="true" outlineLevel="0" collapsed="false">
      <c r="B14" s="11" t="s">
        <v>77</v>
      </c>
      <c r="C14" s="16" t="n">
        <f aca="false">LTV_Model!L43</f>
        <v>42.7359040761997</v>
      </c>
      <c r="D14" s="16" t="n">
        <f aca="false">LTV_Model!L45</f>
        <v>220</v>
      </c>
      <c r="E14" s="35" t="n">
        <f aca="false">LTV_Model!L46</f>
        <v>0.194254109437271</v>
      </c>
      <c r="F14" s="28" t="n">
        <f aca="false">LTV_Model!L47</f>
        <v>35</v>
      </c>
    </row>
    <row r="16" customFormat="false" ht="18" hidden="false" customHeight="true" outlineLevel="0" collapsed="false">
      <c r="A16" s="7" t="s">
        <v>190</v>
      </c>
      <c r="B16" s="7"/>
      <c r="C16" s="7"/>
      <c r="D16" s="7"/>
      <c r="E16" s="7"/>
      <c r="F16" s="7"/>
    </row>
    <row r="17" customFormat="false" ht="15" hidden="false" customHeight="true" outlineLevel="0" collapsed="false">
      <c r="B17" s="11" t="s">
        <v>191</v>
      </c>
      <c r="C17" s="31" t="n">
        <f aca="false">(PnL!$O$21+PnL!$P$21+PnL!$Q$21)/100</f>
        <v>2.52152556845906</v>
      </c>
    </row>
    <row r="18" customFormat="false" ht="15" hidden="false" customHeight="true" outlineLevel="0" collapsed="false">
      <c r="B18" s="11" t="s">
        <v>192</v>
      </c>
      <c r="C18" s="23" t="n">
        <f aca="false">(PnL!$O$9+PnL!$P$9+PnL!$Q$9)/100</f>
        <v>1.50572556845906</v>
      </c>
    </row>
    <row r="19" customFormat="false" ht="15" hidden="false" customHeight="true" outlineLevel="0" collapsed="false">
      <c r="B19" s="11" t="s">
        <v>193</v>
      </c>
      <c r="C19" s="23" t="n">
        <f aca="false">Assumptions!$B$37*(Volume_Build!$B$40+Volume_Build!$C$40+Volume_Build!$D$40+Volume_Build!$E$40+Volume_Build!$F$40+Volume_Build!$G$40+Volume_Build!$H$40+Volume_Build!$I$40+Volume_Build!$J$40+Volume_Build!$K$40+Volume_Build!$L$40+Volume_Build!$M$40)/100</f>
        <v>1.0158</v>
      </c>
    </row>
    <row r="21" customFormat="false" ht="15" hidden="false" customHeight="true" outlineLevel="0" collapsed="false">
      <c r="B21" s="9" t="s">
        <v>194</v>
      </c>
    </row>
    <row r="24" customFormat="false" ht="15" hidden="false" customHeight="true" outlineLevel="0" collapsed="false">
      <c r="B24" s="8" t="s">
        <v>195</v>
      </c>
      <c r="C24" s="8" t="s">
        <v>196</v>
      </c>
      <c r="E24" s="8" t="s">
        <v>185</v>
      </c>
      <c r="F24" s="8" t="s">
        <v>197</v>
      </c>
    </row>
    <row r="25" customFormat="false" ht="27.75" hidden="false" customHeight="true" outlineLevel="0" collapsed="false">
      <c r="B25" s="1" t="s">
        <v>96</v>
      </c>
      <c r="C25" s="23" t="n">
        <f aca="false">PnL!B17</f>
        <v>-38.12744</v>
      </c>
      <c r="E25" s="40" t="s">
        <v>46</v>
      </c>
      <c r="F25" s="23" t="n">
        <f aca="false">SUM(Volume_Build!B10:M10)</f>
        <v>11823.5421549146</v>
      </c>
    </row>
    <row r="26" customFormat="false" ht="15" hidden="false" customHeight="true" outlineLevel="0" collapsed="false">
      <c r="B26" s="1" t="s">
        <v>97</v>
      </c>
      <c r="C26" s="23" t="n">
        <f aca="false">PnL!C17</f>
        <v>-41.2816332</v>
      </c>
      <c r="E26" s="40" t="s">
        <v>76</v>
      </c>
      <c r="F26" s="23" t="n">
        <f aca="false">SUM(Volume_Build!B19:M19)</f>
        <v>609.306775635837</v>
      </c>
    </row>
    <row r="27" customFormat="false" ht="15" hidden="false" customHeight="true" outlineLevel="0" collapsed="false">
      <c r="B27" s="1" t="s">
        <v>98</v>
      </c>
      <c r="C27" s="23" t="n">
        <f aca="false">PnL!D17</f>
        <v>3.48822472919994</v>
      </c>
      <c r="E27" s="40" t="s">
        <v>77</v>
      </c>
      <c r="F27" s="23" t="n">
        <f aca="false">SUM(Volume_Build!B28:M28)</f>
        <v>114.864139941693</v>
      </c>
    </row>
    <row r="28" customFormat="false" ht="15" hidden="false" customHeight="true" outlineLevel="0" collapsed="false">
      <c r="B28" s="1" t="s">
        <v>99</v>
      </c>
      <c r="C28" s="23" t="n">
        <f aca="false">PnL!E17</f>
        <v>104.619457321503</v>
      </c>
    </row>
    <row r="29" customFormat="false" ht="15" hidden="false" customHeight="true" outlineLevel="0" collapsed="false">
      <c r="B29" s="1" t="s">
        <v>100</v>
      </c>
      <c r="C29" s="23" t="n">
        <f aca="false">PnL!F17</f>
        <v>229.314848588809</v>
      </c>
    </row>
    <row r="30" customFormat="false" ht="15" hidden="false" customHeight="true" outlineLevel="0" collapsed="false">
      <c r="B30" s="1" t="s">
        <v>101</v>
      </c>
      <c r="C30" s="23" t="n">
        <f aca="false">PnL!G17</f>
        <v>411.830345183401</v>
      </c>
    </row>
    <row r="31" customFormat="false" ht="15" hidden="false" customHeight="true" outlineLevel="0" collapsed="false">
      <c r="B31" s="1" t="s">
        <v>102</v>
      </c>
      <c r="C31" s="23" t="n">
        <f aca="false">PnL!H17</f>
        <v>644.314657971353</v>
      </c>
    </row>
    <row r="32" customFormat="false" ht="15" hidden="false" customHeight="true" outlineLevel="0" collapsed="false">
      <c r="B32" s="1" t="s">
        <v>103</v>
      </c>
      <c r="C32" s="23" t="n">
        <f aca="false">PnL!I17</f>
        <v>920.257380367116</v>
      </c>
    </row>
    <row r="33" customFormat="false" ht="15" hidden="false" customHeight="true" outlineLevel="0" collapsed="false">
      <c r="B33" s="1" t="s">
        <v>104</v>
      </c>
      <c r="C33" s="23" t="n">
        <f aca="false">PnL!J17</f>
        <v>1190.71293610737</v>
      </c>
    </row>
    <row r="34" customFormat="false" ht="15" hidden="false" customHeight="true" outlineLevel="0" collapsed="false">
      <c r="B34" s="1" t="s">
        <v>105</v>
      </c>
      <c r="C34" s="23" t="n">
        <f aca="false">PnL!K17</f>
        <v>1497.00918562614</v>
      </c>
    </row>
    <row r="35" customFormat="false" ht="15" hidden="false" customHeight="true" outlineLevel="0" collapsed="false">
      <c r="B35" s="1" t="s">
        <v>106</v>
      </c>
      <c r="C35" s="23" t="n">
        <f aca="false">PnL!L17</f>
        <v>1837.26656412068</v>
      </c>
    </row>
    <row r="36" customFormat="false" ht="15" hidden="false" customHeight="true" outlineLevel="0" collapsed="false">
      <c r="B36" s="1" t="s">
        <v>107</v>
      </c>
      <c r="C36" s="23" t="n">
        <f aca="false">PnL!M17</f>
        <v>2209.31799628255</v>
      </c>
    </row>
  </sheetData>
  <mergeCells count="5">
    <mergeCell ref="A1:F1"/>
    <mergeCell ref="A2:F2"/>
    <mergeCell ref="A4:F4"/>
    <mergeCell ref="A10:F10"/>
    <mergeCell ref="A16:F1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2026-07-04T19:57:29Z</dcterms:created>
  <dc:creator>openpyxl</dc:creator>
  <dc:description/>
  <dc:language>en-US</dc:language>
  <cp:lastModifiedBy/>
  <dcterms:modified xsi:type="dcterms:W3CDTF">2026-07-04T19:58:44Z</dcterms:modified>
  <cp:revision>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